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Executive Dashboard" sheetId="2" state="visible" r:id="rId4"/>
    <sheet name="Master Task List" sheetId="3" state="visible" r:id="rId5"/>
    <sheet name="Completed Work" sheetId="4" state="visible" r:id="rId6"/>
    <sheet name="Remaining Work" sheetId="5" state="visible" r:id="rId7"/>
    <sheet name="Timeline" sheetId="6" state="visible" r:id="rId8"/>
    <sheet name="Milestones" sheetId="7" state="visible" r:id="rId9"/>
    <sheet name="Risk Register" sheetId="8" state="visible" r:id="rId10"/>
    <sheet name="Team Progress" sheetId="9" state="visible" r:id="rId11"/>
    <sheet name="Weekly Report" sheetId="10" state="visible" r:id="rId12"/>
    <sheet name="Roadmap" sheetId="11" state="visible" r:id="rId13"/>
    <sheet name="Lists" sheetId="12" state="hidden" r:id="rId14"/>
    <sheet name="ChartData" sheetId="13" state="hidden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1" authorId="0">
      <text>
        <r>
          <rPr>
            <sz val="10"/>
            <rFont val="Arial"/>
            <family val="2"/>
          </rPr>
          <t xml:space="preserve">Placeholder: no financial/budget data was supplied for this project. Replace with a live figure or link to a Finance sheet once available.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Editable input columns: Priority, Owner, Department, Status, Start Date, End Date, Actual Finish, Dependency, Risk Level, Notes (blue where applicable). Progress %, Duration, Remaining Days are automatic formulas — do not overwrite.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Auto-populated from Master Task List where Status = Completed. Only 'Lessons Learned' is manually editable (blue text).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Auto-populated from Master Task List where Status is Not Started, Planning, or Blocked (the workbook's equivalent of 'Pending').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Auto-generated from Master Task List and Milestones — do not edit bar cells directly. Timeline granularity is weekly (Mon-start buckets); the 'Duration' info column shows exact days. Diamonds (◆) in the Milestones block mark milestone target weeks.</t>
        </r>
      </text>
    </comment>
  </commentList>
</comments>
</file>

<file path=xl/sharedStrings.xml><?xml version="1.0" encoding="utf-8"?>
<sst xmlns="http://schemas.openxmlformats.org/spreadsheetml/2006/main" count="1587" uniqueCount="622">
  <si>
    <t xml:space="preserve">ضماناتي (Damanaty) — PMO Workbook — Read Me</t>
  </si>
  <si>
    <t xml:space="preserve">Prepared for:</t>
  </si>
  <si>
    <t xml:space="preserve">CEO · Investors · Project Manager · Development Team · Product Owner</t>
  </si>
  <si>
    <t xml:space="preserve">Report date basis:</t>
  </si>
  <si>
    <t xml:space="preserve">2026-07-26 (=TODAY() in formulas; all overdue/health/weekly figures move automatically)</t>
  </si>
  <si>
    <t xml:space="preserve">Color Legend</t>
  </si>
  <si>
    <t xml:space="preserve">Blue text</t>
  </si>
  <si>
    <t xml:space="preserve">Editable input cell — safe to type over (Status, dates, owner, notes, etc.)</t>
  </si>
  <si>
    <t xml:space="preserve">Black text</t>
  </si>
  <si>
    <t xml:space="preserve">Automatic formula — do not overwrite</t>
  </si>
  <si>
    <t xml:space="preserve"> </t>
  </si>
  <si>
    <t xml:space="preserve">Status = Completed</t>
  </si>
  <si>
    <t xml:space="preserve">Status = In Progress (Design / Development / Testing / Review)</t>
  </si>
  <si>
    <t xml:space="preserve">Status = Planning</t>
  </si>
  <si>
    <t xml:space="preserve">Status = Blocked</t>
  </si>
  <si>
    <t xml:space="preserve">Priority / Risk = Critical, or task is Overdue</t>
  </si>
  <si>
    <t xml:space="preserve">Status = Not Started / Cancelled</t>
  </si>
  <si>
    <t xml:space="preserve">Sheet Guide</t>
  </si>
  <si>
    <t xml:space="preserve">Executive Dashboard</t>
  </si>
  <si>
    <t xml:space="preserve">KPIs, project health traffic light, and 6 live charts. Everything here recalculates from Master Task List.</t>
  </si>
  <si>
    <t xml:space="preserve">Master Task List</t>
  </si>
  <si>
    <t xml:space="preserve">Single source of truth — one row per task. Progress %, Duration, Remaining Days compute automatically from Status/dates.</t>
  </si>
  <si>
    <t xml:space="preserve">Completed Work</t>
  </si>
  <si>
    <t xml:space="preserve">Auto-filtered view of Completed tasks. Only 'Lessons Learned' is manually editable.</t>
  </si>
  <si>
    <t xml:space="preserve">Remaining Work</t>
  </si>
  <si>
    <t xml:space="preserve">Auto-filtered view of Not Started / Planning / Blocked tasks.</t>
  </si>
  <si>
    <t xml:space="preserve">Timeline</t>
  </si>
  <si>
    <t xml:space="preserve">Weekly Gantt chart. Bars are conditional-formatting driven from Start/End Date + Status/Priority; today's week is highlighted; milestones show as ◆.</t>
  </si>
  <si>
    <t xml:space="preserve">Milestones</t>
  </si>
  <si>
    <t xml:space="preserve">Key delivery milestones. Status and Progress are formula-derived from related module tasks.</t>
  </si>
  <si>
    <t xml:space="preserve">Risk Register</t>
  </si>
  <si>
    <t xml:space="preserve">Risk log with Severity = Probability × Impact (color-scaled).</t>
  </si>
  <si>
    <t xml:space="preserve">Team Progress</t>
  </si>
  <si>
    <t xml:space="preserve">Per-person workload and productivity, computed from Master Task List.</t>
  </si>
  <si>
    <t xml:space="preserve">Weekly Report</t>
  </si>
  <si>
    <t xml:space="preserve">Auto-summarized weekly snapshot: completed/started/overdue/critical, upcoming milestones, top risks.</t>
  </si>
  <si>
    <t xml:space="preserve">Roadmap</t>
  </si>
  <si>
    <t xml:space="preserve">Modules grouped by planned quarter with formula-driven progress bars.</t>
  </si>
  <si>
    <t xml:space="preserve">Assumptions &amp; Notes</t>
  </si>
  <si>
    <t xml:space="preserve">•</t>
  </si>
  <si>
    <t xml:space="preserve">No real project data (tasks, dates, owners, budget) was supplied for Damanaty. All 90 tasks across the 30 requested modules are realistic illustrative content generated to demonstrate the template — replace with actual project data before use.</t>
  </si>
  <si>
    <t xml:space="preserve">Budget Status on the Dashboard is a placeholder; no financial figures were provided.</t>
  </si>
  <si>
    <t xml:space="preserve">Progress % is automatic: it is looked up from Status via the hidden Lists sheet. To change a task's progress, change its Status — do not type over the Progress % cell.</t>
  </si>
  <si>
    <t xml:space="preserve">'Pending' / Remaining Work = Not Started + Planning + Blocked statuses (Cancelled tasks are excluded from all counts and averages).</t>
  </si>
  <si>
    <t xml:space="preserve">Formulas are pre-built with headroom through row 600 on Master Task List (and matching headroom on dependent sheets) so new tasks can be typed in directly — for growth beyond that, copy the last row's formula cells down.</t>
  </si>
  <si>
    <t xml:space="preserve">Timeline granularity is weekly (Monday-start buckets) to keep the sheet a manageable size for a multi-year plan; exact day counts are shown in the Duration column of Master Task List and Timeline.</t>
  </si>
  <si>
    <t xml:space="preserve">Dependency values are informational Task ID references (e.g. DMT-014) — they are not enforced by scheduling formulas.</t>
  </si>
  <si>
    <t xml:space="preserve">ضماناتي (Damanaty) — Executive Dashboard</t>
  </si>
  <si>
    <t xml:space="preserve">OVERALL PROGRESS</t>
  </si>
  <si>
    <t xml:space="preserve">COMPLETED TASKS</t>
  </si>
  <si>
    <t xml:space="preserve">IN PROGRESS</t>
  </si>
  <si>
    <t xml:space="preserve">PENDING TASKS</t>
  </si>
  <si>
    <t xml:space="preserve">OVERDUE TASKS</t>
  </si>
  <si>
    <t xml:space="preserve">CRITICAL TASKS</t>
  </si>
  <si>
    <t xml:space="preserve">UPCOMING MILESTONES (30D)</t>
  </si>
  <si>
    <t xml:space="preserve">PROJECT HEALTH</t>
  </si>
  <si>
    <t xml:space="preserve">BUDGET STATUS</t>
  </si>
  <si>
    <t xml:space="preserve">EXPECTED COMPLETION</t>
  </si>
  <si>
    <t xml:space="preserve">On Budget (placeholder)</t>
  </si>
  <si>
    <t xml:space="preserve">OverdueRatio (helper):</t>
  </si>
  <si>
    <t xml:space="preserve">Task ID</t>
  </si>
  <si>
    <t xml:space="preserve">Module</t>
  </si>
  <si>
    <t xml:space="preserve">Feature</t>
  </si>
  <si>
    <t xml:space="preserve">Task</t>
  </si>
  <si>
    <t xml:space="preserve">Description</t>
  </si>
  <si>
    <t xml:space="preserve">Priority</t>
  </si>
  <si>
    <t xml:space="preserve">Owner</t>
  </si>
  <si>
    <t xml:space="preserve">Department</t>
  </si>
  <si>
    <t xml:space="preserve">Status</t>
  </si>
  <si>
    <t xml:space="preserve">Progress %</t>
  </si>
  <si>
    <t xml:space="preserve">Start Date</t>
  </si>
  <si>
    <t xml:space="preserve">End Date</t>
  </si>
  <si>
    <t xml:space="preserve">Actual Finish</t>
  </si>
  <si>
    <t xml:space="preserve">Duration (Days)</t>
  </si>
  <si>
    <t xml:space="preserve">Remaining Days</t>
  </si>
  <si>
    <t xml:space="preserve">Dependency</t>
  </si>
  <si>
    <t xml:space="preserve">Risk Level</t>
  </si>
  <si>
    <t xml:space="preserve">Notes</t>
  </si>
  <si>
    <t xml:space="preserve">Overdue?</t>
  </si>
  <si>
    <t xml:space="preserve">CompletedRowKey</t>
  </si>
  <si>
    <t xml:space="preserve">RemainingRowKey</t>
  </si>
  <si>
    <t xml:space="preserve">ThisWeekCompletedKey</t>
  </si>
  <si>
    <t xml:space="preserve">CriticalOpenKey</t>
  </si>
  <si>
    <t xml:space="preserve">ThisWeekStartedKey</t>
  </si>
  <si>
    <t xml:space="preserve">Upcoming7Key</t>
  </si>
  <si>
    <t xml:space="preserve">DMT-001</t>
  </si>
  <si>
    <t xml:space="preserve">Project Planning</t>
  </si>
  <si>
    <t xml:space="preserve">خطة المشروع</t>
  </si>
  <si>
    <t xml:space="preserve">إعداد ميثاق المشروع</t>
  </si>
  <si>
    <t xml:space="preserve">صياغة ميثاق المشروع وتحديد الأهداف والنطاق والمخرجات الرئيسية</t>
  </si>
  <si>
    <t xml:space="preserve">Low</t>
  </si>
  <si>
    <t xml:space="preserve">سارة العتيبي</t>
  </si>
  <si>
    <t xml:space="preserve">PMO</t>
  </si>
  <si>
    <t xml:space="preserve">Completed</t>
  </si>
  <si>
    <t xml:space="preserve">DMT-002</t>
  </si>
  <si>
    <t xml:space="preserve">بناء خطة العمل الزمنية</t>
  </si>
  <si>
    <t xml:space="preserve">إعداد الجدول الزمني الرئيسي وتوزيع المراحل على الفرق</t>
  </si>
  <si>
    <t xml:space="preserve">Medium</t>
  </si>
  <si>
    <t xml:space="preserve">DMT-003</t>
  </si>
  <si>
    <t xml:space="preserve">إدارة الموارد</t>
  </si>
  <si>
    <t xml:space="preserve">تخصيص فريق العمل</t>
  </si>
  <si>
    <t xml:space="preserve">تحديد أدوار الفريق ومسؤولياته وتخصيص الموارد لكل وحدة</t>
  </si>
  <si>
    <t xml:space="preserve">DMT-004</t>
  </si>
  <si>
    <t xml:space="preserve">Business Analysis</t>
  </si>
  <si>
    <t xml:space="preserve">متطلبات العمل</t>
  </si>
  <si>
    <t xml:space="preserve">جمع متطلبات الضمانات</t>
  </si>
  <si>
    <t xml:space="preserve">مقابلة أصحاب المصلحة وتوثيق متطلبات إدارة الضمانات</t>
  </si>
  <si>
    <t xml:space="preserve">محمد القحطاني</t>
  </si>
  <si>
    <t xml:space="preserve">DMT-005</t>
  </si>
  <si>
    <t xml:space="preserve">تحليل نموذج العمل</t>
  </si>
  <si>
    <t xml:space="preserve">دراسة نموذج الإيرادات والمستخدمين المستهدفين للتطبيق</t>
  </si>
  <si>
    <t xml:space="preserve">DMT-006</t>
  </si>
  <si>
    <t xml:space="preserve">توثيق المتطلبات</t>
  </si>
  <si>
    <t xml:space="preserve">إعداد وثيقة المتطلبات (BRD)</t>
  </si>
  <si>
    <t xml:space="preserve">توثيق متطلبات العمل الشاملة ومراجعتها مع الإدارة</t>
  </si>
  <si>
    <t xml:space="preserve">DMT-007</t>
  </si>
  <si>
    <t xml:space="preserve">UI/UX Design</t>
  </si>
  <si>
    <t xml:space="preserve">تجربة المستخدم</t>
  </si>
  <si>
    <t xml:space="preserve">بناء خرائط تدفق المستخدم</t>
  </si>
  <si>
    <t xml:space="preserve">تصميم مسارات المستخدم الرئيسية داخل التطبيق والموقع</t>
  </si>
  <si>
    <t xml:space="preserve">نورة الدوسري</t>
  </si>
  <si>
    <t xml:space="preserve">Design</t>
  </si>
  <si>
    <t xml:space="preserve">DMT-008</t>
  </si>
  <si>
    <t xml:space="preserve">واجهة المستخدم</t>
  </si>
  <si>
    <t xml:space="preserve">تصميم نظام التصميم (Design System)</t>
  </si>
  <si>
    <t xml:space="preserve">بناء مكتبة المكونات والألوان والخطوط الموحدة</t>
  </si>
  <si>
    <t xml:space="preserve">DMT-009</t>
  </si>
  <si>
    <t xml:space="preserve">النماذج الأولية</t>
  </si>
  <si>
    <t xml:space="preserve">تصميم النماذج التفاعلية (Prototype)</t>
  </si>
  <si>
    <t xml:space="preserve">إعداد نماذج Figma قابلة للاختبار مع المستخدمين</t>
  </si>
  <si>
    <t xml:space="preserve">DMT-010</t>
  </si>
  <si>
    <t xml:space="preserve">Branding</t>
  </si>
  <si>
    <t xml:space="preserve">الهوية البصرية</t>
  </si>
  <si>
    <t xml:space="preserve">تصميم الشعار وتصميم الهوية</t>
  </si>
  <si>
    <t xml:space="preserve">تصميم شعار ضماناتي ودليل الهوية البصرية الكامل</t>
  </si>
  <si>
    <t xml:space="preserve">عبدالله الشمري</t>
  </si>
  <si>
    <t xml:space="preserve">DMT-011</t>
  </si>
  <si>
    <t xml:space="preserve">تطوير دليل العلامة التجارية</t>
  </si>
  <si>
    <t xml:space="preserve">إعداد دليل استخدام الشعار والألوان لجميع المنصات</t>
  </si>
  <si>
    <t xml:space="preserve">DMT-012</t>
  </si>
  <si>
    <t xml:space="preserve">التسويق</t>
  </si>
  <si>
    <t xml:space="preserve">تصميم مواد تسويقية أولية</t>
  </si>
  <si>
    <t xml:space="preserve">تصميم القوالب التسويقية لوسائل التواصل الاجتماعي</t>
  </si>
  <si>
    <t xml:space="preserve">DMT-013</t>
  </si>
  <si>
    <t xml:space="preserve">Mobile App</t>
  </si>
  <si>
    <t xml:space="preserve">تطبيق الجوال</t>
  </si>
  <si>
    <t xml:space="preserve">إعداد بنية تطبيق iOS/Android</t>
  </si>
  <si>
    <t xml:space="preserve">إعداد المشروع الأساسي والبنية المعمارية للتطبيق</t>
  </si>
  <si>
    <t xml:space="preserve">فيصل المطيري</t>
  </si>
  <si>
    <t xml:space="preserve">Engineering</t>
  </si>
  <si>
    <t xml:space="preserve">Testing</t>
  </si>
  <si>
    <t xml:space="preserve">DMT-014</t>
  </si>
  <si>
    <t xml:space="preserve">تطوير الشاشات الرئيسية</t>
  </si>
  <si>
    <t xml:space="preserve">بناء شاشات لوحة التحكم والملف الشخصي والإشعارات</t>
  </si>
  <si>
    <t xml:space="preserve">DMT-015</t>
  </si>
  <si>
    <t xml:space="preserve">دمج بوابات الدفع</t>
  </si>
  <si>
    <t xml:space="preserve">ربط تطبيق الجوال ببوابات الدفع المحلية</t>
  </si>
  <si>
    <t xml:space="preserve">Development</t>
  </si>
  <si>
    <t xml:space="preserve">DMT-016</t>
  </si>
  <si>
    <t xml:space="preserve">Web Dashboard</t>
  </si>
  <si>
    <t xml:space="preserve">لوحة الويب</t>
  </si>
  <si>
    <t xml:space="preserve">إعداد بنية الواجهة الأمامية</t>
  </si>
  <si>
    <t xml:space="preserve">إعداد مشروع React وبنية المكونات المشتركة</t>
  </si>
  <si>
    <t xml:space="preserve">ريم الحربي</t>
  </si>
  <si>
    <t xml:space="preserve">DMT-017</t>
  </si>
  <si>
    <t xml:space="preserve">تطوير لوحة التحكم الرئيسية</t>
  </si>
  <si>
    <t xml:space="preserve">بناء الصفحة الرئيسية للوحة التحكم وعرض الإحصائيات</t>
  </si>
  <si>
    <t xml:space="preserve">DMT-018</t>
  </si>
  <si>
    <t xml:space="preserve">تطوير صفحات إدارة الضمانات</t>
  </si>
  <si>
    <t xml:space="preserve">بناء واجهات عرض وتعديل الضمانات على الويب</t>
  </si>
  <si>
    <t xml:space="preserve">DMT-019</t>
  </si>
  <si>
    <t xml:space="preserve">Authentication</t>
  </si>
  <si>
    <t xml:space="preserve">المصادقة</t>
  </si>
  <si>
    <t xml:space="preserve">تطوير تسجيل الدخول وكلمة المرور</t>
  </si>
  <si>
    <t xml:space="preserve">بناء نظام تسجيل الدخول الآمن مع التحقق من كلمة المرور</t>
  </si>
  <si>
    <t xml:space="preserve">High</t>
  </si>
  <si>
    <t xml:space="preserve">خالد الغامدي</t>
  </si>
  <si>
    <t xml:space="preserve">DMT-020</t>
  </si>
  <si>
    <t xml:space="preserve">دمج المصادقة الثنائية (OTP)</t>
  </si>
  <si>
    <t xml:space="preserve">إضافة التحقق عبر رسائل SMS ورمز OTP</t>
  </si>
  <si>
    <t xml:space="preserve">DMT-021</t>
  </si>
  <si>
    <t xml:space="preserve">دمج تسجيل الدخول الموحد (SSO/نفاذ)</t>
  </si>
  <si>
    <t xml:space="preserve">ربط النظام مع منصة نفاذ الوطنية للهوية الرقمية</t>
  </si>
  <si>
    <t xml:space="preserve">DMT-022</t>
  </si>
  <si>
    <t xml:space="preserve">User Management</t>
  </si>
  <si>
    <t xml:space="preserve">إدارة المستخدمين</t>
  </si>
  <si>
    <t xml:space="preserve">بناء نظام الأدوار والصلاحيات</t>
  </si>
  <si>
    <t xml:space="preserve">تصميم نظام RBAC لإدارة صلاحيات المستخدمين</t>
  </si>
  <si>
    <t xml:space="preserve">لمياء العنزي</t>
  </si>
  <si>
    <t xml:space="preserve">DMT-023</t>
  </si>
  <si>
    <t xml:space="preserve">تطوير الملف الشخصي للمستخدم</t>
  </si>
  <si>
    <t xml:space="preserve">بناء صفحة الملف الشخصي وتحديث البيانات</t>
  </si>
  <si>
    <t xml:space="preserve">Review</t>
  </si>
  <si>
    <t xml:space="preserve">DMT-024</t>
  </si>
  <si>
    <t xml:space="preserve">إدارة حسابات الشركات</t>
  </si>
  <si>
    <t xml:space="preserve">دعم الحسابات المؤسسية متعددة المستخدمين</t>
  </si>
  <si>
    <t xml:space="preserve">DMT-025</t>
  </si>
  <si>
    <t xml:space="preserve">Guarantee Management</t>
  </si>
  <si>
    <t xml:space="preserve">إدارة الضمانات</t>
  </si>
  <si>
    <t xml:space="preserve">تصميم قاعدة بيانات الضمانات</t>
  </si>
  <si>
    <t xml:space="preserve">تصميم نموذج البيانات الخاص بأنواع الضمانات وحالاتها</t>
  </si>
  <si>
    <t xml:space="preserve">Critical</t>
  </si>
  <si>
    <t xml:space="preserve">DMT-026</t>
  </si>
  <si>
    <t xml:space="preserve">تطوير محرك إدارة دورة حياة الضمان</t>
  </si>
  <si>
    <t xml:space="preserve">بناء منطق الأعمال لحالات الضمان من الإنشاء إلى الإغلاق</t>
  </si>
  <si>
    <t xml:space="preserve">DMT-027</t>
  </si>
  <si>
    <t xml:space="preserve">تطوير واجهة إدارة الضمانات للمشرفين</t>
  </si>
  <si>
    <t xml:space="preserve">بناء أدوات إدارية لمراجعة وتعديل الضمانات</t>
  </si>
  <si>
    <t xml:space="preserve">DMT-028</t>
  </si>
  <si>
    <t xml:space="preserve">Guarantee Registration</t>
  </si>
  <si>
    <t xml:space="preserve">تسجيل الضمانات</t>
  </si>
  <si>
    <t xml:space="preserve">بناء نموذج تسجيل الضمان</t>
  </si>
  <si>
    <t xml:space="preserve">تطوير نموذج تسجيل ضمان جديد مع التحقق من الحقول</t>
  </si>
  <si>
    <t xml:space="preserve">DMT-029</t>
  </si>
  <si>
    <t xml:space="preserve">رفع وإدارة المستندات</t>
  </si>
  <si>
    <t xml:space="preserve">إضافة خاصية رفع صور وفواتير الضمان</t>
  </si>
  <si>
    <t xml:space="preserve">DMT-030</t>
  </si>
  <si>
    <t xml:space="preserve">دمج بيانات المتاجر والموردين</t>
  </si>
  <si>
    <t xml:space="preserve">ربط نموذج التسجيل بقاعدة بيانات المتاجر المعتمدة</t>
  </si>
  <si>
    <t xml:space="preserve">Planning</t>
  </si>
  <si>
    <t xml:space="preserve">DMT-031</t>
  </si>
  <si>
    <t xml:space="preserve">Guarantee Verification</t>
  </si>
  <si>
    <t xml:space="preserve">التحقق من الضمانات</t>
  </si>
  <si>
    <t xml:space="preserve">بناء خدمة التحقق الفوري</t>
  </si>
  <si>
    <t xml:space="preserve">تطوير خدمة API للتحقق من صلاحية الضمان لحظيًا</t>
  </si>
  <si>
    <t xml:space="preserve">DMT-032</t>
  </si>
  <si>
    <t xml:space="preserve">دمج التحقق مع أنظمة الموردين</t>
  </si>
  <si>
    <t xml:space="preserve">ربط النظام مع أنظمة الموردين الخارجية للتحقق من الفاتورة</t>
  </si>
  <si>
    <t xml:space="preserve">Blocked</t>
  </si>
  <si>
    <t xml:space="preserve">متوقف: بانتظار توقيع اتفاقية تكامل مع مزود API الخارجي</t>
  </si>
  <si>
    <t xml:space="preserve">DMT-033</t>
  </si>
  <si>
    <t xml:space="preserve">بناء سجل تدقيق التحقق</t>
  </si>
  <si>
    <t xml:space="preserve">تسجيل كل عمليات التحقق لأغراض التدقيق والمراجعة</t>
  </si>
  <si>
    <t xml:space="preserve">Not Started</t>
  </si>
  <si>
    <t xml:space="preserve">DMT-034</t>
  </si>
  <si>
    <t xml:space="preserve">QR Code System</t>
  </si>
  <si>
    <t xml:space="preserve">رمز الاستجابة السريعة</t>
  </si>
  <si>
    <t xml:space="preserve">توليد رمز QR لكل ضمان</t>
  </si>
  <si>
    <t xml:space="preserve">بناء خدمة توليد رمز QR فريد لكل ضمان مسجل</t>
  </si>
  <si>
    <t xml:space="preserve">DMT-035</t>
  </si>
  <si>
    <t xml:space="preserve">تطوير ماسح QR داخل التطبيق</t>
  </si>
  <si>
    <t xml:space="preserve">إضافة كاميرا لمسح رمز QR والتحقق الفوري</t>
  </si>
  <si>
    <t xml:space="preserve">DMT-036</t>
  </si>
  <si>
    <t xml:space="preserve">طباعة وتوزيع ملصقات QR</t>
  </si>
  <si>
    <t xml:space="preserve">تصميم آلية طباعة ملصقات QR للمتاجر الشريكة</t>
  </si>
  <si>
    <t xml:space="preserve">DMT-037</t>
  </si>
  <si>
    <t xml:space="preserve">Notifications</t>
  </si>
  <si>
    <t xml:space="preserve">الإشعارات</t>
  </si>
  <si>
    <t xml:space="preserve">بناء محرك الإشعارات الفورية</t>
  </si>
  <si>
    <t xml:space="preserve">تطوير خدمة Push Notifications للتطبيق</t>
  </si>
  <si>
    <t xml:space="preserve">DMT-038</t>
  </si>
  <si>
    <t xml:space="preserve">إشعارات انتهاء صلاحية الضمان</t>
  </si>
  <si>
    <t xml:space="preserve">بناء تنبيهات تلقائية قبل انتهاء مدة الضمان</t>
  </si>
  <si>
    <t xml:space="preserve">DMT-039</t>
  </si>
  <si>
    <t xml:space="preserve">إشعارات البريد الإلكتروني والرسائل</t>
  </si>
  <si>
    <t xml:space="preserve">دمج قوالب البريد الإلكتروني ورسائل SMS</t>
  </si>
  <si>
    <t xml:space="preserve">DMT-040</t>
  </si>
  <si>
    <t xml:space="preserve">Search</t>
  </si>
  <si>
    <t xml:space="preserve">البحث</t>
  </si>
  <si>
    <t xml:space="preserve">بناء محرك بحث الضمانات</t>
  </si>
  <si>
    <t xml:space="preserve">تطوير بحث سريع للضمانات حسب المنتج أو المتجر</t>
  </si>
  <si>
    <t xml:space="preserve">DMT-041</t>
  </si>
  <si>
    <t xml:space="preserve">إضافة الفلاتر المتقدمة</t>
  </si>
  <si>
    <t xml:space="preserve">دعم الفلترة حسب الحالة والتاريخ والفئة</t>
  </si>
  <si>
    <t xml:space="preserve">DMT-042</t>
  </si>
  <si>
    <t xml:space="preserve">تحسين أداء الفهرسة</t>
  </si>
  <si>
    <t xml:space="preserve">بناء فهرسة للبيانات لتسريع نتائج البحث</t>
  </si>
  <si>
    <t xml:space="preserve">DMT-043</t>
  </si>
  <si>
    <t xml:space="preserve">Reports</t>
  </si>
  <si>
    <t xml:space="preserve">التقارير</t>
  </si>
  <si>
    <t xml:space="preserve">بناء تقارير الضمانات الأساسية</t>
  </si>
  <si>
    <t xml:space="preserve">تطوير تقارير قابلة للتصدير بصيغة PDF وExcel</t>
  </si>
  <si>
    <t xml:space="preserve">منيرة القرني</t>
  </si>
  <si>
    <t xml:space="preserve">Data &amp; AI</t>
  </si>
  <si>
    <t xml:space="preserve">DMT-044</t>
  </si>
  <si>
    <t xml:space="preserve">تقارير الأداء الإداري</t>
  </si>
  <si>
    <t xml:space="preserve">بناء تقارير لأداء الفرق والمتاجر الشريكة</t>
  </si>
  <si>
    <t xml:space="preserve">DMT-045</t>
  </si>
  <si>
    <t xml:space="preserve">جدولة التقارير الدورية</t>
  </si>
  <si>
    <t xml:space="preserve">إضافة إرسال تلقائي للتقارير الأسبوعية والشهرية</t>
  </si>
  <si>
    <t xml:space="preserve">DMT-046</t>
  </si>
  <si>
    <t xml:space="preserve">Analytics</t>
  </si>
  <si>
    <t xml:space="preserve">التحليلات</t>
  </si>
  <si>
    <t xml:space="preserve">بناء لوحة التحليلات التفاعلية</t>
  </si>
  <si>
    <t xml:space="preserve">تطوير رسوم بيانية لتحليل استخدام الضمانات</t>
  </si>
  <si>
    <t xml:space="preserve">DMT-047</t>
  </si>
  <si>
    <t xml:space="preserve">تحليل سلوك المستخدمين</t>
  </si>
  <si>
    <t xml:space="preserve">دراسة أنماط استخدام التطبيق لتحسين التجربة</t>
  </si>
  <si>
    <t xml:space="preserve">DMT-048</t>
  </si>
  <si>
    <t xml:space="preserve">مؤشرات الأداء الرئيسية (KPIs)</t>
  </si>
  <si>
    <t xml:space="preserve">بناء لوحة مؤشرات الأداء للإدارة العليا</t>
  </si>
  <si>
    <t xml:space="preserve">DMT-049</t>
  </si>
  <si>
    <t xml:space="preserve">AI Features</t>
  </si>
  <si>
    <t xml:space="preserve">الذكاء الاصطناعي</t>
  </si>
  <si>
    <t xml:space="preserve">نموذج التعرف على الفواتير (OCR)</t>
  </si>
  <si>
    <t xml:space="preserve">بناء نموذج لاستخراج بيانات الفاتورة تلقائيًا من الصور</t>
  </si>
  <si>
    <t xml:space="preserve">متوقف: بانتظار توفر مجموعة بيانات فواتير كافية للتدريب</t>
  </si>
  <si>
    <t xml:space="preserve">DMT-050</t>
  </si>
  <si>
    <t xml:space="preserve">كشف الضمانات المزيفة</t>
  </si>
  <si>
    <t xml:space="preserve">تطوير نموذج تعلم آلي لكشف المستندات المزورة</t>
  </si>
  <si>
    <t xml:space="preserve">DMT-051</t>
  </si>
  <si>
    <t xml:space="preserve">مساعد ذكي للدعم الفني</t>
  </si>
  <si>
    <t xml:space="preserve">بناء روبوت محادثة للإجابة على استفسارات المستخدمين</t>
  </si>
  <si>
    <t xml:space="preserve">DMT-052</t>
  </si>
  <si>
    <t xml:space="preserve">Admin Dashboard</t>
  </si>
  <si>
    <t xml:space="preserve">لوحة الإدارة</t>
  </si>
  <si>
    <t xml:space="preserve">بناء لوحة تحكم المشرفين</t>
  </si>
  <si>
    <t xml:space="preserve">تطوير لوحة تحكم شاملة لإدارة المنصة</t>
  </si>
  <si>
    <t xml:space="preserve">DMT-053</t>
  </si>
  <si>
    <t xml:space="preserve">إدارة المستخدمين والصلاحيات</t>
  </si>
  <si>
    <t xml:space="preserve">أدوات إدارية للتحكم بحسابات المستخدمين</t>
  </si>
  <si>
    <t xml:space="preserve">DMT-054</t>
  </si>
  <si>
    <t xml:space="preserve">سجل النشاطات والتدقيق</t>
  </si>
  <si>
    <t xml:space="preserve">بناء سجل شامل لعمليات النظام لأغراض التدقيق</t>
  </si>
  <si>
    <t xml:space="preserve">DMT-055</t>
  </si>
  <si>
    <t xml:space="preserve">API Development</t>
  </si>
  <si>
    <t xml:space="preserve">واجهات برمجية</t>
  </si>
  <si>
    <t xml:space="preserve">تصميم معايير REST API</t>
  </si>
  <si>
    <t xml:space="preserve">تحديد معايير التسمية والاستجابة لجميع الواجهات</t>
  </si>
  <si>
    <t xml:space="preserve">DMT-058</t>
  </si>
  <si>
    <t xml:space="preserve">DMT-056</t>
  </si>
  <si>
    <t xml:space="preserve">تطوير واجهات إدارة الضمانات</t>
  </si>
  <si>
    <t xml:space="preserve">بناء نقاط النهاية الخاصة بإدارة وتسجيل الضمانات</t>
  </si>
  <si>
    <t xml:space="preserve">DMT-057</t>
  </si>
  <si>
    <t xml:space="preserve">توثيق الواجهات البرمجية</t>
  </si>
  <si>
    <t xml:space="preserve">إعداد توثيق Swagger/OpenAPI لجميع الواجهات</t>
  </si>
  <si>
    <t xml:space="preserve">Database</t>
  </si>
  <si>
    <t xml:space="preserve">قاعدة البيانات</t>
  </si>
  <si>
    <t xml:space="preserve">تصميم مخطط قاعدة البيانات</t>
  </si>
  <si>
    <t xml:space="preserve">بناء مخطط ERD الشامل لجميع كيانات النظام</t>
  </si>
  <si>
    <t xml:space="preserve">DMT-059</t>
  </si>
  <si>
    <t xml:space="preserve">إعداد بيئة قاعدة البيانات السحابية</t>
  </si>
  <si>
    <t xml:space="preserve">إعداد قاعدة بيانات PostgreSQL على السحابة</t>
  </si>
  <si>
    <t xml:space="preserve">DMT-060</t>
  </si>
  <si>
    <t xml:space="preserve">تحسين الأداء والفهرسة</t>
  </si>
  <si>
    <t xml:space="preserve">بناء الفهارس وتحسين الاستعلامات لضمان الأداء</t>
  </si>
  <si>
    <t xml:space="preserve">DMT-061</t>
  </si>
  <si>
    <t xml:space="preserve">Cloud Infrastructure</t>
  </si>
  <si>
    <t xml:space="preserve">البنية التحتية</t>
  </si>
  <si>
    <t xml:space="preserve">إعداد بيئة السحابة الأساسية</t>
  </si>
  <si>
    <t xml:space="preserve">تجهيز بيئات التطوير والاختبار والإنتاج على السحابة</t>
  </si>
  <si>
    <t xml:space="preserve">تركي السبيعي</t>
  </si>
  <si>
    <t xml:space="preserve">DevOps</t>
  </si>
  <si>
    <t xml:space="preserve">متأخر عن الجدول الزمني المخطط، يحتاج متابعة عاجلة من فريق DevOps</t>
  </si>
  <si>
    <t xml:space="preserve">DMT-062</t>
  </si>
  <si>
    <t xml:space="preserve">إعداد خطوط CI/CD</t>
  </si>
  <si>
    <t xml:space="preserve">بناء خطوط نشر آلية للتطبيق والواجهات الخلفية</t>
  </si>
  <si>
    <t xml:space="preserve">DMT-063</t>
  </si>
  <si>
    <t xml:space="preserve">إعداد المراقبة والتنبيهات</t>
  </si>
  <si>
    <t xml:space="preserve">دمج أدوات مراقبة الأداء والتنبيه عند الأعطال</t>
  </si>
  <si>
    <t xml:space="preserve">DMT-064</t>
  </si>
  <si>
    <t xml:space="preserve">Security</t>
  </si>
  <si>
    <t xml:space="preserve">الأمن السيبراني</t>
  </si>
  <si>
    <t xml:space="preserve">تقييم المخاطر الأمنية</t>
  </si>
  <si>
    <t xml:space="preserve">إجراء تقييم شامل للمخاطر الأمنية في النظام</t>
  </si>
  <si>
    <t xml:space="preserve">عمر باقادر</t>
  </si>
  <si>
    <t xml:space="preserve">DMT-065</t>
  </si>
  <si>
    <t xml:space="preserve">تشفير البيانات الحساسة</t>
  </si>
  <si>
    <t xml:space="preserve">تطبيق التشفير على بيانات المستخدمين والضمانات</t>
  </si>
  <si>
    <t xml:space="preserve">DMT-066</t>
  </si>
  <si>
    <t xml:space="preserve">اختبار الاختراق</t>
  </si>
  <si>
    <t xml:space="preserve">إجراء اختبار اختراق شامل قبل الإطلاق</t>
  </si>
  <si>
    <t xml:space="preserve">DMT-067</t>
  </si>
  <si>
    <t xml:space="preserve">الاختبار</t>
  </si>
  <si>
    <t xml:space="preserve">إعداد خطة الاختبار الشاملة</t>
  </si>
  <si>
    <t xml:space="preserve">بناء استراتيجية الاختبار لجميع مكونات النظام</t>
  </si>
  <si>
    <t xml:space="preserve">هند الزهراني</t>
  </si>
  <si>
    <t xml:space="preserve">QA</t>
  </si>
  <si>
    <t xml:space="preserve">DMT-068</t>
  </si>
  <si>
    <t xml:space="preserve">تنفيذ اختبارات الوحدة والتكامل</t>
  </si>
  <si>
    <t xml:space="preserve">كتابة وتنفيذ اختبارات آلية للوظائف الأساسية</t>
  </si>
  <si>
    <t xml:space="preserve">DMT-069</t>
  </si>
  <si>
    <t xml:space="preserve">اختبار قبول المستخدم (UAT)</t>
  </si>
  <si>
    <t xml:space="preserve">تنفيذ اختبارات القبول مع مستخدمين تجريبيين</t>
  </si>
  <si>
    <t xml:space="preserve">DMT-070</t>
  </si>
  <si>
    <t xml:space="preserve">Performance</t>
  </si>
  <si>
    <t xml:space="preserve">الأداء</t>
  </si>
  <si>
    <t xml:space="preserve">اختبار تحمل الأحمال (Load Testing)</t>
  </si>
  <si>
    <t xml:space="preserve">قياس أداء النظام تحت ضغط عدد كبير من المستخدمين</t>
  </si>
  <si>
    <t xml:space="preserve">DMT-071</t>
  </si>
  <si>
    <t xml:space="preserve">تحسين سرعة الاستجابة</t>
  </si>
  <si>
    <t xml:space="preserve">تحسين أوقات استجابة الواجهات البرمجية والتطبيق</t>
  </si>
  <si>
    <t xml:space="preserve">DMT-072</t>
  </si>
  <si>
    <t xml:space="preserve">تحسين استهلاك الموارد السحابية</t>
  </si>
  <si>
    <t xml:space="preserve">ضبط الموارد السحابية لتقليل التكلفة وزيادة الكفاءة</t>
  </si>
  <si>
    <t xml:space="preserve">DMT-073</t>
  </si>
  <si>
    <t xml:space="preserve">Deployment</t>
  </si>
  <si>
    <t xml:space="preserve">النشر</t>
  </si>
  <si>
    <t xml:space="preserve">إعداد بيئة الإنتاج النهائية</t>
  </si>
  <si>
    <t xml:space="preserve">تجهيز جميع الخدمات والبنية التحتية لبيئة الإنتاج</t>
  </si>
  <si>
    <t xml:space="preserve">DMT-074</t>
  </si>
  <si>
    <t xml:space="preserve">تنفيذ خطة النشر التدريجي</t>
  </si>
  <si>
    <t xml:space="preserve">نشر التطبيق تدريجيًا لمجموعة محدودة من المستخدمين</t>
  </si>
  <si>
    <t xml:space="preserve">DMT-075</t>
  </si>
  <si>
    <t xml:space="preserve">خطة التراجع والاستعادة</t>
  </si>
  <si>
    <t xml:space="preserve">إعداد خطة طوارئ للتراجع عند حدوث أعطال في الإطلاق</t>
  </si>
  <si>
    <t xml:space="preserve">DMT-076</t>
  </si>
  <si>
    <t xml:space="preserve">Documentation</t>
  </si>
  <si>
    <t xml:space="preserve">التوثيق</t>
  </si>
  <si>
    <t xml:space="preserve">توثيق أدلة المستخدم</t>
  </si>
  <si>
    <t xml:space="preserve">إعداد دليل استخدام التطبيق والموقع للمستخدمين</t>
  </si>
  <si>
    <t xml:space="preserve">DMT-077</t>
  </si>
  <si>
    <t xml:space="preserve">توثيق الأنظمة التقنية</t>
  </si>
  <si>
    <t xml:space="preserve">إعداد وثائق تقنية للمطورين والفرق الداخلية</t>
  </si>
  <si>
    <t xml:space="preserve">DMT-078</t>
  </si>
  <si>
    <t xml:space="preserve">توثيق السياسات والإجراءات</t>
  </si>
  <si>
    <t xml:space="preserve">توثيق سياسات إدارة الضمانات والإجراءات التشغيلية</t>
  </si>
  <si>
    <t xml:space="preserve">DMT-079</t>
  </si>
  <si>
    <t xml:space="preserve">Intellectual Property</t>
  </si>
  <si>
    <t xml:space="preserve">الملكية الفكرية</t>
  </si>
  <si>
    <t xml:space="preserve">تسجيل العلامة التجارية</t>
  </si>
  <si>
    <t xml:space="preserve">تقديم طلب تسجيل العلامة التجارية لضماناتي</t>
  </si>
  <si>
    <t xml:space="preserve">ياسر الأحمدي</t>
  </si>
  <si>
    <t xml:space="preserve">Legal</t>
  </si>
  <si>
    <t xml:space="preserve">DMT-080</t>
  </si>
  <si>
    <t xml:space="preserve">حماية حقوق الملكية الفكرية للبرمجيات</t>
  </si>
  <si>
    <t xml:space="preserve">مراجعة قانونية لحماية الكود ونماذج البيانات</t>
  </si>
  <si>
    <t xml:space="preserve">DMT-081</t>
  </si>
  <si>
    <t xml:space="preserve">تسجيل براءة اختراع لنظام التحقق</t>
  </si>
  <si>
    <t xml:space="preserve">دراسة إمكانية تسجيل براءة اختراع لتقنية التحقق من الضمانات</t>
  </si>
  <si>
    <t xml:space="preserve">Cancelled</t>
  </si>
  <si>
    <t xml:space="preserve">تم إلغاؤه: تقرر عدم تسجيل براءة اختراع في هذه المرحلة</t>
  </si>
  <si>
    <t xml:space="preserve">DMT-082</t>
  </si>
  <si>
    <t xml:space="preserve">Legal Compliance</t>
  </si>
  <si>
    <t xml:space="preserve">الامتثال القانوني</t>
  </si>
  <si>
    <t xml:space="preserve">مراجعة الامتثال لأنظمة حماية البيانات</t>
  </si>
  <si>
    <t xml:space="preserve">مراجعة التوافق مع نظام حماية البيانات الشخصية السعودي</t>
  </si>
  <si>
    <t xml:space="preserve">DMT-083</t>
  </si>
  <si>
    <t xml:space="preserve">إعداد الشروط والأحكام</t>
  </si>
  <si>
    <t xml:space="preserve">صياغة الشروط والأحكام وسياسة الخصوصية</t>
  </si>
  <si>
    <t xml:space="preserve">DMT-084</t>
  </si>
  <si>
    <t xml:space="preserve">مراجعة الامتثال لأنظمة التجارة الإلكترونية</t>
  </si>
  <si>
    <t xml:space="preserve">التأكد من التوافق مع أنظمة الجهات الرقابية ذات العلاقة</t>
  </si>
  <si>
    <t xml:space="preserve">DMT-085</t>
  </si>
  <si>
    <t xml:space="preserve">Launch Preparation</t>
  </si>
  <si>
    <t xml:space="preserve">التحضير للإطلاق</t>
  </si>
  <si>
    <t xml:space="preserve">إعداد خطة الإطلاق التسويقي</t>
  </si>
  <si>
    <t xml:space="preserve">بناء خطة تسويقية متكاملة لإطلاق التطبيق</t>
  </si>
  <si>
    <t xml:space="preserve">جواهر العصيمي</t>
  </si>
  <si>
    <t xml:space="preserve">Product</t>
  </si>
  <si>
    <t xml:space="preserve">DMT-086</t>
  </si>
  <si>
    <t xml:space="preserve">تدريب فريق الدعم الفني</t>
  </si>
  <si>
    <t xml:space="preserve">تدريب فريق خدمة العملاء على النظام الجديد</t>
  </si>
  <si>
    <t xml:space="preserve">DMT-087</t>
  </si>
  <si>
    <t xml:space="preserve">إعداد قنوات الدعم والمتابعة</t>
  </si>
  <si>
    <t xml:space="preserve">تجهيز قنوات الدعم الفني ومتابعة ملاحظات المستخدمين</t>
  </si>
  <si>
    <t xml:space="preserve">DMT-088</t>
  </si>
  <si>
    <t xml:space="preserve">Post Launch Improvements</t>
  </si>
  <si>
    <t xml:space="preserve">التحسين المستمر</t>
  </si>
  <si>
    <t xml:space="preserve">جمع ملاحظات المستخدمين بعد الإطلاق</t>
  </si>
  <si>
    <t xml:space="preserve">تحليل ملاحظات المستخدمين الأوائل لتحديد التحسينات</t>
  </si>
  <si>
    <t xml:space="preserve">DMT-089</t>
  </si>
  <si>
    <t xml:space="preserve">إصدار تحديثات الإصلاحات</t>
  </si>
  <si>
    <t xml:space="preserve">إطلاق تحديثات دورية لمعالجة الأخطاء المكتشفة</t>
  </si>
  <si>
    <t xml:space="preserve">DMT-090</t>
  </si>
  <si>
    <t xml:space="preserve">خطة التوسع للمرحلة الثانية</t>
  </si>
  <si>
    <t xml:space="preserve">بناء خارطة طريق لميزات المرحلة الثانية من المشروع</t>
  </si>
  <si>
    <t xml:space="preserve">_RowRef</t>
  </si>
  <si>
    <t xml:space="preserve">Completed By</t>
  </si>
  <si>
    <t xml:space="preserve">Completion Date</t>
  </si>
  <si>
    <t xml:space="preserve">Duration</t>
  </si>
  <si>
    <t xml:space="preserve">Lessons Learned</t>
  </si>
  <si>
    <t xml:space="preserve">Estimated Effort (Days)</t>
  </si>
  <si>
    <t xml:space="preserve">Estimated Finish</t>
  </si>
  <si>
    <t xml:space="preserve">Damanaty — Project Timeline (Gantt)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</si>
  <si>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</si>
  <si>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</si>
  <si>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</si>
  <si>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</si>
  <si>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</si>
  <si>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</si>
  <si>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</si>
  <si>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</si>
  <si>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</si>
  <si>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</si>
  <si>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</si>
  <si>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</si>
  <si>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</si>
  <si>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</si>
  <si>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</si>
  <si>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</si>
  <si>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</si>
  <si>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Milestones (◆)</t>
  </si>
  <si>
    <t xml:space="preserve">Milestone ID</t>
  </si>
  <si>
    <t xml:space="preserve">Milestone</t>
  </si>
  <si>
    <t xml:space="preserve">Target</t>
  </si>
  <si>
    <t xml:space="preserve">M01</t>
  </si>
  <si>
    <t xml:space="preserve">M02</t>
  </si>
  <si>
    <t xml:space="preserve">M03</t>
  </si>
  <si>
    <t xml:space="preserve">M04</t>
  </si>
  <si>
    <t xml:space="preserve">M05</t>
  </si>
  <si>
    <t xml:space="preserve">M06</t>
  </si>
  <si>
    <t xml:space="preserve">M07</t>
  </si>
  <si>
    <t xml:space="preserve">M08</t>
  </si>
  <si>
    <t xml:space="preserve">Target Date</t>
  </si>
  <si>
    <t xml:space="preserve">Progress</t>
  </si>
  <si>
    <t xml:space="preserve">Dependencies</t>
  </si>
  <si>
    <t xml:space="preserve">_PrimaryModule</t>
  </si>
  <si>
    <t xml:space="preserve">_UpcomingKey</t>
  </si>
  <si>
    <t xml:space="preserve">انطلاقة المشروع رسميًا</t>
  </si>
  <si>
    <t xml:space="preserve">اعتماد ميثاق المشروع وبدء التنفيذ الفعلي</t>
  </si>
  <si>
    <t xml:space="preserve">-</t>
  </si>
  <si>
    <t xml:space="preserve">اعتماد التصميم النهائي (UI/UX)</t>
  </si>
  <si>
    <t xml:space="preserve">اعتماد نظام التصميم والنماذج التفاعلية من الإدارة</t>
  </si>
  <si>
    <t xml:space="preserve">إصدار النسخة التجريبية الأولى (Alpha)</t>
  </si>
  <si>
    <t xml:space="preserve">إتاحة نسخة داخلية تجريبية للتطبيق ولوحة التحكم</t>
  </si>
  <si>
    <t xml:space="preserve">Mobile App, Web Dashboard</t>
  </si>
  <si>
    <t xml:space="preserve">اكتمال وحدة إدارة الضمانات الأساسية</t>
  </si>
  <si>
    <t xml:space="preserve">تسجيل والتحقق من الضمانات بشكل كامل</t>
  </si>
  <si>
    <t xml:space="preserve">Guarantee Management, Guarantee Verification</t>
  </si>
  <si>
    <t xml:space="preserve">إصدار النسخة التجريبية العامة (Beta)</t>
  </si>
  <si>
    <t xml:space="preserve">إتاحة النسخة التجريبية لعدد محدود من المستخدمين الخارجيين</t>
  </si>
  <si>
    <t xml:space="preserve">Guarantee Registration, Notifications, Search</t>
  </si>
  <si>
    <t xml:space="preserve">اكتمال الاختبارات الأمنية والأداء</t>
  </si>
  <si>
    <t xml:space="preserve">اجتياز اختبارات الاختراق والأداء بنجاح</t>
  </si>
  <si>
    <t xml:space="preserve">Security, Testing, Performance</t>
  </si>
  <si>
    <t xml:space="preserve">الجاهزية للإطلاق (Go-Live Readiness)</t>
  </si>
  <si>
    <t xml:space="preserve">اكتمال جميع المتطلبات التقنية والقانونية والتشغيلية للإطلاق</t>
  </si>
  <si>
    <t xml:space="preserve">Deployment, Legal Compliance, Documentation</t>
  </si>
  <si>
    <t xml:space="preserve">الإطلاق الرسمي للتطبيق</t>
  </si>
  <si>
    <t xml:space="preserve">إطلاق تطبيق ضماناتي للجمهور رسميًا</t>
  </si>
  <si>
    <t xml:space="preserve">Risk</t>
  </si>
  <si>
    <t xml:space="preserve">Probability</t>
  </si>
  <si>
    <t xml:space="preserve">Impact</t>
  </si>
  <si>
    <t xml:space="preserve">Severity</t>
  </si>
  <si>
    <t xml:space="preserve">Mitigation Plan</t>
  </si>
  <si>
    <t xml:space="preserve">_RankKey</t>
  </si>
  <si>
    <t xml:space="preserve">تأخر تكامل الأنظمة مع الموردين الخارجيين للتحقق من الضمانات</t>
  </si>
  <si>
    <t xml:space="preserve">إعداد اتفاقيات تكامل مبكرة واختبار بيئات وهمية (Sandbox) مع الموردين الرئيسيين</t>
  </si>
  <si>
    <t xml:space="preserve">Open</t>
  </si>
  <si>
    <t xml:space="preserve">نقص بيانات تدريب نموذج الذكاء الاصطناعي (OCR)</t>
  </si>
  <si>
    <t xml:space="preserve">التعاون مع شركاء لجمع عينات فواتير حقيقية وتوليد بيانات اصطناعية إضافية</t>
  </si>
  <si>
    <t xml:space="preserve">مخاطر أمنية متعلقة بحماية بيانات المستخدمين والضمانات</t>
  </si>
  <si>
    <t xml:space="preserve">تطبيق التشفير الشامل وإجراء اختبارات اختراق دورية قبل الإطلاق</t>
  </si>
  <si>
    <t xml:space="preserve">Mitigating</t>
  </si>
  <si>
    <t xml:space="preserve">تأخر اعتماد التوافق مع نظام حماية البيانات الشخصية</t>
  </si>
  <si>
    <t xml:space="preserve">إشراك الفريق القانوني مبكرًا ومراجعة الامتثال بشكل تدريجي مع كل وحدة</t>
  </si>
  <si>
    <t xml:space="preserve">تجاوز الميزانية المخصصة للبنية التحتية السحابية</t>
  </si>
  <si>
    <t xml:space="preserve">مراقبة الاستهلاك الشهري وتفعيل تنبيهات تجاوز الميزانية على مزود السحابة</t>
  </si>
  <si>
    <t xml:space="preserve">دوران الموظفين في فريق التطوير الأساسي</t>
  </si>
  <si>
    <t xml:space="preserve">توثيق المعرفة التقنية بشكل مستمر وتوزيع المسؤوليات بين أكثر من مطور</t>
  </si>
  <si>
    <t xml:space="preserve">تأخر تسجيل العلامة التجارية قبل موعد الإطلاق</t>
  </si>
  <si>
    <t xml:space="preserve">متابعة دورية مع الجهة المختصة والتقديم المبكر لطلب التسجيل</t>
  </si>
  <si>
    <t xml:space="preserve">ضعف أداء النظام تحت ضغط عدد كبير من المستخدمين عند الإطلاق</t>
  </si>
  <si>
    <t xml:space="preserve">إجراء اختبارات تحمل مبكرة وتصميم بنية قابلة للتوسع أفقيًا</t>
  </si>
  <si>
    <t xml:space="preserve">مقاومة المستخدمين لتبني التطبيق مقارنة بالطرق التقليدية</t>
  </si>
  <si>
    <t xml:space="preserve">حملة توعوية وتجربة مستخدم مبسطة مع حوافز للاستخدام المبكر</t>
  </si>
  <si>
    <t xml:space="preserve">تغييرات تنظيمية أو قانونية مفاجئة تؤثر على نموذج العمل</t>
  </si>
  <si>
    <t xml:space="preserve">متابعة مستمرة للتحديثات التنظيمية وبناء نموذج عمل مرن قابل للتكيف</t>
  </si>
  <si>
    <t xml:space="preserve">Team Member</t>
  </si>
  <si>
    <t xml:space="preserve">Tasks Assigned</t>
  </si>
  <si>
    <t xml:space="preserve">Remaining</t>
  </si>
  <si>
    <t xml:space="preserve">Average Progress</t>
  </si>
  <si>
    <t xml:space="preserve">Blocked Tasks</t>
  </si>
  <si>
    <t xml:space="preserve">Productivity %</t>
  </si>
  <si>
    <t xml:space="preserve">التقرير الأسبوعي — Weekly Report</t>
  </si>
  <si>
    <t xml:space="preserve">Week Start (Mon):</t>
  </si>
  <si>
    <t xml:space="preserve">Week End (Today):</t>
  </si>
  <si>
    <t xml:space="preserve">Metric</t>
  </si>
  <si>
    <t xml:space="preserve">Value</t>
  </si>
  <si>
    <t xml:space="preserve">Completed This Week</t>
  </si>
  <si>
    <t xml:space="preserve">Started This Week</t>
  </si>
  <si>
    <t xml:space="preserve">Upcoming (Next 7 Days)</t>
  </si>
  <si>
    <t xml:space="preserve">Delayed / Overdue Tasks</t>
  </si>
  <si>
    <t xml:space="preserve">Critical Open Tasks</t>
  </si>
  <si>
    <t xml:space="preserve">Upcoming Milestones (30 Days)</t>
  </si>
  <si>
    <t xml:space="preserve">✅ اكتمل هذا الأسبوع — Completed This Week</t>
  </si>
  <si>
    <t xml:space="preserve">🚨 حرج / متأخر — Critical &amp; Overdue</t>
  </si>
  <si>
    <t xml:space="preserve">🎯 المعالم القادمة — Upcoming Milestones</t>
  </si>
  <si>
    <r>
      <rPr>
        <b val="true"/>
        <sz val="11"/>
        <color rgb="FFC65911"/>
        <rFont val="Calibri"/>
        <family val="2"/>
        <charset val="1"/>
      </rPr>
      <t xml:space="preserve">⚠️ أهم المخاطر — </t>
    </r>
    <r>
      <rPr>
        <b val="true"/>
        <sz val="11"/>
        <color rgb="FFC65911"/>
        <rFont val="Cambria"/>
        <family val="0"/>
        <charset val="1"/>
      </rPr>
      <t xml:space="preserve">Top Risks</t>
    </r>
  </si>
  <si>
    <t xml:space="preserve">خارطة طريق ضماناتي — Damanaty Product Roadmap</t>
  </si>
  <si>
    <t xml:space="preserve">Quarter grouping reflects planned sequencing; Quarter/Progress columns are formula-driven from Master Task List.</t>
  </si>
  <si>
    <t xml:space="preserve">Q1 2026  (6 modules)</t>
  </si>
  <si>
    <t xml:space="preserve">Key Features</t>
  </si>
  <si>
    <t xml:space="preserve">Quarter</t>
  </si>
  <si>
    <t xml:space="preserve">Lead</t>
  </si>
  <si>
    <t xml:space="preserve">إعداد ميثاق المشروع • بناء خطة العمل الزمنية • تخصيص فريق العمل</t>
  </si>
  <si>
    <t xml:space="preserve">جمع متطلبات الضمانات • تحليل نموذج العمل • إعداد وثيقة المتطلبات (BRD)</t>
  </si>
  <si>
    <t xml:space="preserve">بناء خرائط تدفق المستخدم • تصميم نظام التصميم (Design System) • تصميم النماذج التفاعلية (Prototype)</t>
  </si>
  <si>
    <t xml:space="preserve">تصميم الشعار وتصميم الهوية • تطوير دليل العلامة التجارية • تصميم مواد تسويقية أولية</t>
  </si>
  <si>
    <t xml:space="preserve">تصميم مخطط قاعدة البيانات • إعداد بيئة قاعدة البيانات السحابية • تحسين الأداء والفهرسة</t>
  </si>
  <si>
    <t xml:space="preserve">إعداد بيئة السحابة الأساسية • إعداد خطوط CI/CD • إعداد المراقبة والتنبيهات</t>
  </si>
  <si>
    <t xml:space="preserve">Q2 2026  (8 modules)</t>
  </si>
  <si>
    <t xml:space="preserve">إعداد بنية تطبيق iOS/Android • تطوير الشاشات الرئيسية • دمج بوابات الدفع</t>
  </si>
  <si>
    <t xml:space="preserve">إعداد بنية الواجهة الأمامية • تطوير لوحة التحكم الرئيسية • تطوير صفحات إدارة الضمانات</t>
  </si>
  <si>
    <t xml:space="preserve">تطوير تسجيل الدخول وكلمة المرور • دمج المصادقة الثنائية (OTP) • دمج تسجيل الدخول الموحد (SSO/نفاذ)</t>
  </si>
  <si>
    <t xml:space="preserve">بناء نظام الأدوار والصلاحيات • تطوير الملف الشخصي للمستخدم • إدارة حسابات الشركات</t>
  </si>
  <si>
    <t xml:space="preserve">تصميم قاعدة بيانات الضمانات • تطوير محرك إدارة دورة حياة الضمان • تطوير واجهة إدارة الضمانات للمشرفين</t>
  </si>
  <si>
    <t xml:space="preserve">بناء نموذج تسجيل الضمان • رفع وإدارة المستندات • دمج بيانات المتاجر والموردين</t>
  </si>
  <si>
    <t xml:space="preserve">تصميم معايير REST API • تطوير واجهات إدارة الضمانات • توثيق الواجهات البرمجية</t>
  </si>
  <si>
    <t xml:space="preserve">تقييم المخاطر الأمنية • تشفير البيانات الحساسة • اختبار الاختراق</t>
  </si>
  <si>
    <t xml:space="preserve">Q3 2026  (7 modules)</t>
  </si>
  <si>
    <t xml:space="preserve">بناء خدمة التحقق الفوري • دمج التحقق مع أنظمة الموردين • بناء سجل تدقيق التحقق</t>
  </si>
  <si>
    <t xml:space="preserve">توليد رمز QR لكل ضمان • تطوير ماسح QR داخل التطبيق • طباعة وتوزيع ملصقات QR</t>
  </si>
  <si>
    <t xml:space="preserve">بناء محرك الإشعارات الفورية • إشعارات انتهاء صلاحية الضمان • إشعارات البريد الإلكتروني والرسائل</t>
  </si>
  <si>
    <t xml:space="preserve">بناء محرك بحث الضمانات • إضافة الفلاتر المتقدمة • تحسين أداء الفهرسة</t>
  </si>
  <si>
    <t xml:space="preserve">بناء تقارير الضمانات الأساسية • تقارير الأداء الإداري • جدولة التقارير الدورية</t>
  </si>
  <si>
    <t xml:space="preserve">بناء لوحة تحكم المشرفين • إدارة المستخدمين والصلاحيات • سجل النشاطات والتدقيق</t>
  </si>
  <si>
    <t xml:space="preserve">مراجعة الامتثال لأنظمة حماية البيانات • إعداد الشروط والأحكام • مراجعة الامتثال لأنظمة التجارة الإلكترونية</t>
  </si>
  <si>
    <t xml:space="preserve">Q4 2026  (7 modules)</t>
  </si>
  <si>
    <t xml:space="preserve">بناء لوحة التحليلات التفاعلية • تحليل سلوك المستخدمين • مؤشرات الأداء الرئيسية (KPIs)</t>
  </si>
  <si>
    <t xml:space="preserve">نموذج التعرف على الفواتير (OCR) • كشف الضمانات المزيفة • مساعد ذكي للدعم الفني</t>
  </si>
  <si>
    <t xml:space="preserve">إعداد خطة الاختبار الشاملة • تنفيذ اختبارات الوحدة والتكامل • اختبار قبول المستخدم (UAT)</t>
  </si>
  <si>
    <t xml:space="preserve">اختبار تحمل الأحمال (Load Testing) • تحسين سرعة الاستجابة • تحسين استهلاك الموارد السحابية</t>
  </si>
  <si>
    <t xml:space="preserve">إعداد بيئة الإنتاج النهائية • تنفيذ خطة النشر التدريجي • خطة التراجع والاستعادة</t>
  </si>
  <si>
    <t xml:space="preserve">توثيق أدلة المستخدم • توثيق الأنظمة التقنية • توثيق السياسات والإجراءات</t>
  </si>
  <si>
    <t xml:space="preserve">تسجيل العلامة التجارية • حماية حقوق الملكية الفكرية للبرمجيات • تسجيل براءة اختراع لنظام التحقق</t>
  </si>
  <si>
    <t xml:space="preserve">Q1 2027  (2 modules)</t>
  </si>
  <si>
    <t xml:space="preserve">إعداد خطة الإطلاق التسويقي • تدريب فريق الدعم الفني • إعداد قنوات الدعم والمتابعة</t>
  </si>
  <si>
    <t xml:space="preserve">جمع ملاحظات المستخدمين بعد الإطلاق • إصدار تحديثات الإصلاحات • خطة التوسع للمرحلة الثانية</t>
  </si>
  <si>
    <t xml:space="preserve">DefaultProgress</t>
  </si>
  <si>
    <t xml:space="preserve">RiskLevel</t>
  </si>
  <si>
    <t xml:space="preserve">MilestoneStatusRaw</t>
  </si>
  <si>
    <t xml:space="preserve">RiskStatus</t>
  </si>
  <si>
    <t xml:space="preserve">In Progress</t>
  </si>
  <si>
    <t xml:space="preserve">Closed</t>
  </si>
  <si>
    <t xml:space="preserve">Delayed</t>
  </si>
  <si>
    <t xml:space="preserve">Count</t>
  </si>
  <si>
    <t xml:space="preserve">ProgressLabel</t>
  </si>
  <si>
    <t xml:space="preserve">Week</t>
  </si>
  <si>
    <t xml:space="preserve">CumulativeCompleted</t>
  </si>
  <si>
    <t xml:space="preserve">DayOffset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</si>
</sst>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General"/>
    <numFmt numFmtId="167" formatCode="yyyy\-mm\-dd"/>
    <numFmt numFmtId="168" formatCode="0"/>
    <numFmt numFmtId="169" formatCode="d/m"/>
    <numFmt numFmtId="170" formatCode="0.00%"/>
    <numFmt numFmtId="171" formatCode="d\-mmm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sz val="7"/>
      <color rgb="FF595959"/>
      <name val="Calibri"/>
      <family val="0"/>
      <charset val="1"/>
    </font>
    <font>
      <sz val="8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1"/>
      <color rgb="FFC65911"/>
      <name val="Calibri"/>
      <family val="2"/>
      <charset val="1"/>
    </font>
    <font>
      <b val="true"/>
      <sz val="11"/>
      <color rgb="FFC65911"/>
      <name val="Cambria"/>
      <family val="0"/>
      <charset val="1"/>
    </font>
    <font>
      <sz val="9"/>
      <name val="Calibri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rgb="FFC6EFCE"/>
        <bgColor rgb="FFDCE6F1"/>
      </patternFill>
    </fill>
    <fill>
      <patternFill patternType="solid">
        <fgColor rgb="FFDCE6F1"/>
        <bgColor rgb="FFE7E6E6"/>
      </patternFill>
    </fill>
    <fill>
      <patternFill patternType="solid">
        <fgColor rgb="FFFCE4D6"/>
        <bgColor rgb="FFE7E6E6"/>
      </patternFill>
    </fill>
    <fill>
      <patternFill patternType="solid">
        <fgColor rgb="FFFFC7CE"/>
        <bgColor rgb="FFFCE4D6"/>
      </patternFill>
    </fill>
    <fill>
      <patternFill patternType="solid">
        <fgColor rgb="FFC00000"/>
        <bgColor rgb="FF9C0006"/>
      </patternFill>
    </fill>
    <fill>
      <patternFill patternType="solid">
        <fgColor rgb="FFE7E6E6"/>
        <bgColor rgb="FFEDEDED"/>
      </patternFill>
    </fill>
    <fill>
      <patternFill patternType="solid">
        <fgColor rgb="FF2CA58D"/>
        <bgColor rgb="FF4299B0"/>
      </patternFill>
    </fill>
    <fill>
      <patternFill patternType="solid">
        <fgColor rgb="FF70AD47"/>
        <bgColor rgb="FF8AA64F"/>
      </patternFill>
    </fill>
    <fill>
      <patternFill patternType="solid">
        <fgColor rgb="FF2F5597"/>
        <bgColor rgb="FF1F4E78"/>
      </patternFill>
    </fill>
    <fill>
      <patternFill patternType="solid">
        <fgColor rgb="FF808080"/>
        <bgColor rgb="FF878787"/>
      </patternFill>
    </fill>
    <fill>
      <patternFill patternType="solid">
        <fgColor rgb="FFFF0000"/>
        <bgColor rgb="FFC00000"/>
      </patternFill>
    </fill>
    <fill>
      <patternFill patternType="solid">
        <fgColor rgb="FFFFFFFF"/>
        <bgColor rgb="FFEDEDED"/>
      </patternFill>
    </fill>
    <fill>
      <patternFill patternType="solid">
        <fgColor rgb="FF4472C4"/>
        <bgColor rgb="FF4672A8"/>
      </patternFill>
    </fill>
    <fill>
      <patternFill patternType="solid">
        <fgColor rgb="FFED7D31"/>
        <bgColor rgb="FFDC853E"/>
      </patternFill>
    </fill>
    <fill>
      <patternFill patternType="solid">
        <fgColor rgb="FF7030A0"/>
        <bgColor rgb="FF725990"/>
      </patternFill>
    </fill>
    <fill>
      <patternFill patternType="solid">
        <fgColor rgb="FFEDEDED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1" fillId="18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1F4E78"/>
      </font>
      <fill>
        <patternFill>
          <bgColor rgb="FFDCE6F1"/>
        </patternFill>
      </fill>
    </dxf>
    <dxf>
      <font>
        <b val="1"/>
        <color rgb="FFC65911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595959"/>
      </font>
      <fill>
        <patternFill>
          <bgColor rgb="FFE7E6E6"/>
        </patternFill>
      </fill>
    </dxf>
    <dxf>
      <font>
        <b val="1"/>
        <color rgb="FFA6A6A6"/>
      </font>
      <fill>
        <patternFill>
          <bgColor rgb="FFE7E6E6"/>
        </patternFill>
      </fill>
    </dxf>
    <dxf>
      <font>
        <b val="1"/>
        <color rgb="FFFFFFFF"/>
      </font>
      <fill>
        <patternFill>
          <bgColor rgb="FFC00000"/>
        </patternFill>
      </fill>
    </dxf>
    <dxf>
      <fill>
        <patternFill patternType="solid">
          <fgColor rgb="FF0000FF"/>
          <bgColor rgb="FF000000"/>
        </patternFill>
      </fill>
    </dxf>
    <dxf>
      <font>
        <color rgb="FFFFFFFF"/>
      </font>
    </dxf>
    <dxf>
      <fill>
        <patternFill>
          <bgColor rgb="FF70AD47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4472C4"/>
        </patternFill>
      </fill>
    </dxf>
    <dxf>
      <fill>
        <patternFill>
          <bgColor rgb="FFFFC000"/>
        </patternFill>
      </fill>
    </dxf>
    <dxf>
      <font>
        <b val="1"/>
        <color rgb="FFC00000"/>
        <sz val="12"/>
      </font>
    </dxf>
    <dxf>
      <fill>
        <patternFill patternType="solid">
          <fgColor rgb="FFE2EDB5"/>
          <bgColor rgb="FF000000"/>
        </patternFill>
      </fill>
    </dxf>
    <dxf>
      <fill>
        <patternFill patternType="solid">
          <fgColor rgb="FFF0ECA9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E3EDB5"/>
          <bgColor rgb="FF000000"/>
        </patternFill>
      </fill>
    </dxf>
    <dxf>
      <fill>
        <patternFill patternType="solid">
          <fgColor rgb="FFF1ECA8"/>
          <bgColor rgb="FF000000"/>
        </patternFill>
      </fill>
    </dxf>
    <dxf>
      <fill>
        <patternFill patternType="solid">
          <fgColor rgb="FFFBEBA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AA64F"/>
      <rgbColor rgb="FF800080"/>
      <rgbColor rgb="FF4672A8"/>
      <rgbColor rgb="FFBFBFBF"/>
      <rgbColor rgb="FF808080"/>
      <rgbColor rgb="FF93A9CE"/>
      <rgbColor rgb="FFAB4744"/>
      <rgbColor rgb="FFEDEDED"/>
      <rgbColor rgb="FFDCE6F1"/>
      <rgbColor rgb="FF660066"/>
      <rgbColor rgb="FFDC853E"/>
      <rgbColor rgb="FF2F5597"/>
      <rgbColor rgb="FFD9D9D9"/>
      <rgbColor rgb="FF000080"/>
      <rgbColor rgb="FFFF00FF"/>
      <rgbColor rgb="FFFFFF00"/>
      <rgbColor rgb="FF00FFFF"/>
      <rgbColor rgb="FF800080"/>
      <rgbColor rgb="FFC00000"/>
      <rgbColor rgb="FF4A7EBB"/>
      <rgbColor rgb="FF0000FF"/>
      <rgbColor rgb="FF4F81BD"/>
      <rgbColor rgb="FFE7E6E6"/>
      <rgbColor rgb="FFC6EFCE"/>
      <rgbColor rgb="FFFCE4D6"/>
      <rgbColor rgb="FFB8CD97"/>
      <rgbColor rgb="FFD09493"/>
      <rgbColor rgb="FFA6A6A6"/>
      <rgbColor rgb="FFFFC7CE"/>
      <rgbColor rgb="FF4472C4"/>
      <rgbColor rgb="FF4299B0"/>
      <rgbColor rgb="FF70AD47"/>
      <rgbColor rgb="FFFFC000"/>
      <rgbColor rgb="FFC0504D"/>
      <rgbColor rgb="FFED7D31"/>
      <rgbColor rgb="FF725990"/>
      <rgbColor rgb="FF878787"/>
      <rgbColor rgb="FF1F3864"/>
      <rgbColor rgb="FF2CA58D"/>
      <rgbColor rgb="FF003300"/>
      <rgbColor rgb="FF666666"/>
      <rgbColor rgb="FFC65911"/>
      <rgbColor rgb="FF7030A0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ChartData!E1</c:f>
              <c:strCache>
                <c:ptCount val="1"/>
                <c:pt idx="0">
                  <c:v>Progress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ChartData!$D$2:$D$3</c:f>
              <c:strCache>
                <c:ptCount val="2"/>
                <c:pt idx="0">
                  <c:v>Completed</c:v>
                </c:pt>
                <c:pt idx="1">
                  <c:v>Remaining</c:v>
                </c:pt>
              </c:strCache>
            </c:strRef>
          </c:cat>
          <c:val>
            <c:numRef>
              <c:f>ChartData!$E$2:$E$3</c:f>
              <c:numCache>
                <c:formatCode>0.00%</c:formatCode>
                <c:ptCount val="2"/>
                <c:pt idx="0">
                  <c:v>0.342777777777778</c:v>
                </c:pt>
                <c:pt idx="1">
                  <c:v>0.657222222222222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ChartData!B1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ChartData!$A$2:$A$10</c:f>
              <c:strCache>
                <c:ptCount val="9"/>
                <c:pt idx="0">
                  <c:v>Not Started</c:v>
                </c:pt>
                <c:pt idx="1">
                  <c:v>Planning</c:v>
                </c:pt>
                <c:pt idx="2">
                  <c:v>Design</c:v>
                </c:pt>
                <c:pt idx="3">
                  <c:v>Development</c:v>
                </c:pt>
                <c:pt idx="4">
                  <c:v>Testing</c:v>
                </c:pt>
                <c:pt idx="5">
                  <c:v>Review</c:v>
                </c:pt>
                <c:pt idx="6">
                  <c:v>Completed</c:v>
                </c:pt>
                <c:pt idx="7">
                  <c:v>Blocked</c:v>
                </c:pt>
                <c:pt idx="8">
                  <c:v>Cancelled</c:v>
                </c:pt>
              </c:strCache>
            </c:strRef>
          </c:cat>
          <c:val>
            <c:numRef>
              <c:f>ChartData!$B$2:$B$10</c:f>
              <c:numCache>
                <c:formatCode>General</c:formatCode>
                <c:ptCount val="9"/>
                <c:pt idx="0">
                  <c:v>45</c:v>
                </c:pt>
                <c:pt idx="1">
                  <c:v>3</c:v>
                </c:pt>
                <c:pt idx="2">
                  <c:v>4</c:v>
                </c:pt>
                <c:pt idx="3">
                  <c:v>10</c:v>
                </c:pt>
                <c:pt idx="4">
                  <c:v>8</c:v>
                </c:pt>
                <c:pt idx="5">
                  <c:v>1</c:v>
                </c:pt>
                <c:pt idx="6">
                  <c:v>16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Weekly Progress (Cumulative Completed)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ChartData!H1</c:f>
              <c:strCache>
                <c:ptCount val="1"/>
                <c:pt idx="0">
                  <c:v>CumulativeCompleted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ChartData!$G$2:$G$9</c:f>
              <c:strCache>
                <c:ptCount val="8"/>
                <c:pt idx="0">
                  <c:v>1-Jun</c:v>
                </c:pt>
                <c:pt idx="1">
                  <c:v>8-Jun</c:v>
                </c:pt>
                <c:pt idx="2">
                  <c:v>15-Jun</c:v>
                </c:pt>
                <c:pt idx="3">
                  <c:v>22-Jun</c:v>
                </c:pt>
                <c:pt idx="4">
                  <c:v>29-Jun</c:v>
                </c:pt>
                <c:pt idx="5">
                  <c:v>6-Jul</c:v>
                </c:pt>
                <c:pt idx="6">
                  <c:v>13-Jul</c:v>
                </c:pt>
                <c:pt idx="7">
                  <c:v>20-Jul</c:v>
                </c:pt>
              </c:strCache>
            </c:strRef>
          </c:cat>
          <c:val>
            <c:numRef>
              <c:f>ChartData!$H$2:$H$9</c:f>
              <c:numCache>
                <c:formatCode>General</c:formatCode>
                <c:ptCount val="8"/>
                <c:pt idx="0">
                  <c:v>15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724955"/>
        <c:axId val="25219127"/>
      </c:lineChart>
      <c:catAx>
        <c:axId val="3724955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19127"/>
        <c:crosses val="autoZero"/>
        <c:auto val="1"/>
        <c:lblAlgn val="ctr"/>
        <c:lblOffset val="100"/>
        <c:noMultiLvlLbl val="0"/>
      </c:catAx>
      <c:valAx>
        <c:axId val="252191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49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Milestone Timeline (days from project start)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ChartData!N1</c:f>
              <c:strCache>
                <c:ptCount val="1"/>
                <c:pt idx="0">
                  <c:v>DayOffset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ChartData!$M$2:$M$9</c:f>
              <c:strCache>
                <c:ptCount val="8"/>
                <c:pt idx="0">
                  <c:v>انطلاقة المشروع رس</c:v>
                </c:pt>
                <c:pt idx="1">
                  <c:v>اعتماد التصميم الن</c:v>
                </c:pt>
                <c:pt idx="2">
                  <c:v>إصدار النسخة التجر</c:v>
                </c:pt>
                <c:pt idx="3">
                  <c:v>اكتمال وحدة إدارة </c:v>
                </c:pt>
                <c:pt idx="4">
                  <c:v>إصدار النسخة التجر</c:v>
                </c:pt>
                <c:pt idx="5">
                  <c:v>اكتمال الاختبارات </c:v>
                </c:pt>
                <c:pt idx="6">
                  <c:v>الجاهزية للإطلاق (</c:v>
                </c:pt>
                <c:pt idx="7">
                  <c:v>الإطلاق الرسمي للت</c:v>
                </c:pt>
              </c:strCache>
            </c:strRef>
          </c:cat>
          <c:val>
            <c:numRef>
              <c:f>ChartData!$N$2:$N$9</c:f>
              <c:numCache>
                <c:formatCode>General</c:formatCode>
                <c:ptCount val="8"/>
                <c:pt idx="0">
                  <c:v>15</c:v>
                </c:pt>
                <c:pt idx="1">
                  <c:v>79</c:v>
                </c:pt>
                <c:pt idx="2">
                  <c:v>222</c:v>
                </c:pt>
                <c:pt idx="3">
                  <c:v>268</c:v>
                </c:pt>
                <c:pt idx="4">
                  <c:v>314</c:v>
                </c:pt>
                <c:pt idx="5">
                  <c:v>370</c:v>
                </c:pt>
                <c:pt idx="6">
                  <c:v>411</c:v>
                </c:pt>
                <c:pt idx="7">
                  <c:v>424</c:v>
                </c:pt>
              </c:numCache>
            </c:numRef>
          </c:val>
        </c:ser>
        <c:gapWidth val="150"/>
        <c:overlap val="0"/>
        <c:axId val="95367286"/>
        <c:axId val="15320506"/>
      </c:barChart>
      <c:catAx>
        <c:axId val="953672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320506"/>
        <c:crosses val="autoZero"/>
        <c:auto val="1"/>
        <c:lblAlgn val="ctr"/>
        <c:lblOffset val="100"/>
        <c:noMultiLvlLbl val="0"/>
      </c:catAx>
      <c:valAx>
        <c:axId val="153205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367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Priority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ChartData!K1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ChartData!$J$2:$J$5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ChartData!$K$2:$K$5</c:f>
              <c:numCache>
                <c:formatCode>General</c:formatCode>
                <c:ptCount val="4"/>
                <c:pt idx="0">
                  <c:v>4</c:v>
                </c:pt>
                <c:pt idx="1">
                  <c:v>35</c:v>
                </c:pt>
                <c:pt idx="2">
                  <c:v>44</c:v>
                </c:pt>
                <c:pt idx="3">
                  <c:v>6</c:v>
                </c:pt>
              </c:numCache>
            </c:numRef>
          </c:val>
        </c:ser>
        <c:gapWidth val="150"/>
        <c:overlap val="0"/>
        <c:axId val="73411950"/>
        <c:axId val="29852370"/>
      </c:barChart>
      <c:catAx>
        <c:axId val="734119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52370"/>
        <c:crosses val="autoZero"/>
        <c:auto val="1"/>
        <c:lblAlgn val="ctr"/>
        <c:lblOffset val="100"/>
        <c:noMultiLvlLbl val="0"/>
      </c:catAx>
      <c:valAx>
        <c:axId val="29852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119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Team Workload (tasks assigned)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'Team Progress'!C1</c:f>
              <c:strCache>
                <c:ptCount val="1"/>
                <c:pt idx="0">
                  <c:v>Tasks Assigned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'Team Progress'!$A$2:$A$15</c:f>
              <c:strCache>
                <c:ptCount val="14"/>
                <c:pt idx="0">
                  <c:v>سارة العتيبي</c:v>
                </c:pt>
                <c:pt idx="1">
                  <c:v>محمد القحطاني</c:v>
                </c:pt>
                <c:pt idx="2">
                  <c:v>نورة الدوسري</c:v>
                </c:pt>
                <c:pt idx="3">
                  <c:v>عبدالله الشمري</c:v>
                </c:pt>
                <c:pt idx="4">
                  <c:v>فيصل المطيري</c:v>
                </c:pt>
                <c:pt idx="5">
                  <c:v>ريم الحربي</c:v>
                </c:pt>
                <c:pt idx="6">
                  <c:v>خالد الغامدي</c:v>
                </c:pt>
                <c:pt idx="7">
                  <c:v>لمياء العنزي</c:v>
                </c:pt>
                <c:pt idx="8">
                  <c:v>تركي السبيعي</c:v>
                </c:pt>
                <c:pt idx="9">
                  <c:v>هند الزهراني</c:v>
                </c:pt>
                <c:pt idx="10">
                  <c:v>عمر باقادر</c:v>
                </c:pt>
                <c:pt idx="11">
                  <c:v>منيرة القرني</c:v>
                </c:pt>
                <c:pt idx="12">
                  <c:v>ياسر الأحمدي</c:v>
                </c:pt>
                <c:pt idx="13">
                  <c:v>جواهر العصيمي</c:v>
                </c:pt>
              </c:strCache>
            </c:strRef>
          </c:cat>
          <c:val>
            <c:numRef>
              <c:f>'Team Progress'!$C$2:$C$15</c:f>
              <c:numCache>
                <c:formatCode>General</c:formatCode>
                <c:ptCount val="14"/>
                <c:pt idx="0">
                  <c:v>6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12</c:v>
                </c:pt>
                <c:pt idx="8">
                  <c:v>6</c:v>
                </c:pt>
                <c:pt idx="9">
                  <c:v>6</c:v>
                </c:pt>
                <c:pt idx="10">
                  <c:v>3</c:v>
                </c:pt>
                <c:pt idx="11">
                  <c:v>9</c:v>
                </c:pt>
                <c:pt idx="12">
                  <c:v>6</c:v>
                </c:pt>
                <c:pt idx="13">
                  <c:v>6</c:v>
                </c:pt>
              </c:numCache>
            </c:numRef>
          </c:val>
        </c:ser>
        <c:gapWidth val="150"/>
        <c:overlap val="0"/>
        <c:axId val="12004811"/>
        <c:axId val="83135359"/>
      </c:barChart>
      <c:catAx>
        <c:axId val="120048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35359"/>
        <c:crosses val="autoZero"/>
        <c:auto val="1"/>
        <c:lblAlgn val="ctr"/>
        <c:lblOffset val="100"/>
        <c:noMultiLvlLbl val="0"/>
      </c:catAx>
      <c:valAx>
        <c:axId val="831353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048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4</xdr:col>
      <xdr:colOff>585720</xdr:colOff>
      <xdr:row>36</xdr:row>
      <xdr:rowOff>21960</xdr:rowOff>
    </xdr:to>
    <xdr:graphicFrame>
      <xdr:nvGraphicFramePr>
        <xdr:cNvPr id="0" name="Chart 1"/>
        <xdr:cNvGraphicFramePr/>
      </xdr:nvGraphicFramePr>
      <xdr:xfrm>
        <a:off x="0" y="41623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0</xdr:rowOff>
    </xdr:from>
    <xdr:to>
      <xdr:col>8</xdr:col>
      <xdr:colOff>586080</xdr:colOff>
      <xdr:row>36</xdr:row>
      <xdr:rowOff>21960</xdr:rowOff>
    </xdr:to>
    <xdr:graphicFrame>
      <xdr:nvGraphicFramePr>
        <xdr:cNvPr id="1" name="Chart 2"/>
        <xdr:cNvGraphicFramePr/>
      </xdr:nvGraphicFramePr>
      <xdr:xfrm>
        <a:off x="3733920" y="41623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21</xdr:row>
      <xdr:rowOff>0</xdr:rowOff>
    </xdr:from>
    <xdr:to>
      <xdr:col>12</xdr:col>
      <xdr:colOff>585720</xdr:colOff>
      <xdr:row>36</xdr:row>
      <xdr:rowOff>21960</xdr:rowOff>
    </xdr:to>
    <xdr:graphicFrame>
      <xdr:nvGraphicFramePr>
        <xdr:cNvPr id="2" name="Chart 3"/>
        <xdr:cNvGraphicFramePr/>
      </xdr:nvGraphicFramePr>
      <xdr:xfrm>
        <a:off x="7467480" y="41623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4</xdr:col>
      <xdr:colOff>585720</xdr:colOff>
      <xdr:row>55</xdr:row>
      <xdr:rowOff>1080</xdr:rowOff>
    </xdr:to>
    <xdr:graphicFrame>
      <xdr:nvGraphicFramePr>
        <xdr:cNvPr id="3" name="Chart 4"/>
        <xdr:cNvGraphicFramePr/>
      </xdr:nvGraphicFramePr>
      <xdr:xfrm>
        <a:off x="0" y="740088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38</xdr:row>
      <xdr:rowOff>0</xdr:rowOff>
    </xdr:from>
    <xdr:to>
      <xdr:col>8</xdr:col>
      <xdr:colOff>586080</xdr:colOff>
      <xdr:row>55</xdr:row>
      <xdr:rowOff>1080</xdr:rowOff>
    </xdr:to>
    <xdr:graphicFrame>
      <xdr:nvGraphicFramePr>
        <xdr:cNvPr id="4" name="Chart 5"/>
        <xdr:cNvGraphicFramePr/>
      </xdr:nvGraphicFramePr>
      <xdr:xfrm>
        <a:off x="3733920" y="740088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38</xdr:row>
      <xdr:rowOff>0</xdr:rowOff>
    </xdr:from>
    <xdr:to>
      <xdr:col>12</xdr:col>
      <xdr:colOff>585720</xdr:colOff>
      <xdr:row>55</xdr:row>
      <xdr:rowOff>1080</xdr:rowOff>
    </xdr:to>
    <xdr:graphicFrame>
      <xdr:nvGraphicFramePr>
        <xdr:cNvPr id="5" name="Chart 6"/>
        <xdr:cNvGraphicFramePr/>
      </xdr:nvGraphicFramePr>
      <xdr:xfrm>
        <a:off x="7467480" y="740088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pletedWork" displayName="CompletedWork" ref="A1:G201" headerRowCount="1" totalsRowCount="0" totalsRowShown="0">
  <autoFilter ref="A1:G201"/>
  <tableColumns count="7">
    <tableColumn id="1" name="_RowRef"/>
    <tableColumn id="2" name="Task"/>
    <tableColumn id="3" name="Module"/>
    <tableColumn id="4" name="Completed By"/>
    <tableColumn id="5" name="Completion Date"/>
    <tableColumn id="6" name="Duration"/>
    <tableColumn id="7" name="Lessons Learned"/>
  </tableColumns>
</table>
</file>

<file path=xl/tables/table2.xml><?xml version="1.0" encoding="utf-8"?>
<table xmlns="http://schemas.openxmlformats.org/spreadsheetml/2006/main" id="2" name="MasterTaskList" displayName="MasterTaskList" ref="A1:Y600" headerRowCount="1" totalsRowCount="0" totalsRowShown="0">
  <autoFilter ref="A1:Y600"/>
  <tableColumns count="25">
    <tableColumn id="1" name="Task ID"/>
    <tableColumn id="2" name="Module"/>
    <tableColumn id="3" name="Feature"/>
    <tableColumn id="4" name="Task"/>
    <tableColumn id="5" name="Description"/>
    <tableColumn id="6" name="Priority"/>
    <tableColumn id="7" name="Owner"/>
    <tableColumn id="8" name="Department"/>
    <tableColumn id="9" name="Status"/>
    <tableColumn id="10" name="Progress %"/>
    <tableColumn id="11" name="Start Date"/>
    <tableColumn id="12" name="End Date"/>
    <tableColumn id="13" name="Actual Finish"/>
    <tableColumn id="14" name="Duration (Days)"/>
    <tableColumn id="15" name="Remaining Days"/>
    <tableColumn id="16" name="Dependency"/>
    <tableColumn id="17" name="Risk Level"/>
    <tableColumn id="18" name="Notes"/>
    <tableColumn id="19" name="Overdue?"/>
    <tableColumn id="20" name="CompletedRowKey"/>
    <tableColumn id="21" name="RemainingRowKey"/>
    <tableColumn id="22" name="ThisWeekCompletedKey"/>
    <tableColumn id="23" name="CriticalOpenKey"/>
    <tableColumn id="24" name="ThisWeekStartedKey"/>
    <tableColumn id="25" name="Upcoming7Key"/>
  </tableColumns>
</table>
</file>

<file path=xl/tables/table3.xml><?xml version="1.0" encoding="utf-8"?>
<table xmlns="http://schemas.openxmlformats.org/spreadsheetml/2006/main" id="3" name="Milestones" displayName="Milestones" ref="A1:J9" headerRowCount="1" totalsRowCount="0" totalsRowShown="0">
  <autoFilter ref="A1:J9"/>
  <tableColumns count="10">
    <tableColumn id="1" name="Milestone"/>
    <tableColumn id="2" name="Description"/>
    <tableColumn id="3" name="Target Date"/>
    <tableColumn id="4" name="Status"/>
    <tableColumn id="5" name="Owner"/>
    <tableColumn id="6" name="Progress"/>
    <tableColumn id="7" name="Dependencies"/>
    <tableColumn id="8" name="Priority"/>
    <tableColumn id="9" name="_PrimaryModule"/>
    <tableColumn id="10" name="_UpcomingKey"/>
  </tableColumns>
</table>
</file>

<file path=xl/tables/table4.xml><?xml version="1.0" encoding="utf-8"?>
<table xmlns="http://schemas.openxmlformats.org/spreadsheetml/2006/main" id="4" name="RemainingWork" displayName="RemainingWork" ref="A1:I201" headerRowCount="1" totalsRowCount="0" totalsRowShown="0">
  <autoFilter ref="A1:I201"/>
  <tableColumns count="9">
    <tableColumn id="1" name="_RowRef"/>
    <tableColumn id="2" name="Task"/>
    <tableColumn id="3" name="Module"/>
    <tableColumn id="4" name="Priority"/>
    <tableColumn id="5" name="Owner"/>
    <tableColumn id="6" name="Status"/>
    <tableColumn id="7" name="Estimated Effort (Days)"/>
    <tableColumn id="8" name="Estimated Finish"/>
    <tableColumn id="9" name="Dependency"/>
  </tableColumns>
</table>
</file>

<file path=xl/tables/table5.xml><?xml version="1.0" encoding="utf-8"?>
<table xmlns="http://schemas.openxmlformats.org/spreadsheetml/2006/main" id="5" name="RiskRegister" displayName="RiskRegister" ref="A1:H11" headerRowCount="1" totalsRowCount="0" totalsRowShown="0">
  <autoFilter ref="A1:H11"/>
  <tableColumns count="8">
    <tableColumn id="1" name="Risk"/>
    <tableColumn id="2" name="Probability"/>
    <tableColumn id="3" name="Impact"/>
    <tableColumn id="4" name="Severity"/>
    <tableColumn id="5" name="Mitigation Plan"/>
    <tableColumn id="6" name="Owner"/>
    <tableColumn id="7" name="Status"/>
    <tableColumn id="8" name="_RankKey"/>
  </tableColumns>
</table>
</file>

<file path=xl/tables/table6.xml><?xml version="1.0" encoding="utf-8"?>
<table xmlns="http://schemas.openxmlformats.org/spreadsheetml/2006/main" id="6" name="TeamProgress" displayName="TeamProgress" ref="A1:H15" headerRowCount="1" totalsRowCount="0" totalsRowShown="0">
  <autoFilter ref="A1:H15"/>
  <tableColumns count="8">
    <tableColumn id="1" name="Team Member"/>
    <tableColumn id="2" name="Department"/>
    <tableColumn id="3" name="Tasks Assigned"/>
    <tableColumn id="4" name="Completed"/>
    <tableColumn id="5" name="Remaining"/>
    <tableColumn id="6" name="Average Progress"/>
    <tableColumn id="7" name="Blocked Tasks"/>
    <tableColumn id="8" name="Productivity %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8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7" customFormat="false" ht="19.5" hidden="false" customHeight="true" outlineLevel="0" collapsed="false">
      <c r="B7" s="4" t="s">
        <v>5</v>
      </c>
      <c r="C7" s="4"/>
    </row>
    <row r="8" customFormat="false" ht="15" hidden="false" customHeight="false" outlineLevel="0" collapsed="false">
      <c r="B8" s="5" t="s">
        <v>6</v>
      </c>
      <c r="C8" s="6" t="s">
        <v>7</v>
      </c>
    </row>
    <row r="9" customFormat="false" ht="15" hidden="false" customHeight="false" outlineLevel="0" collapsed="false">
      <c r="B9" s="7" t="s">
        <v>8</v>
      </c>
      <c r="C9" s="6" t="s">
        <v>9</v>
      </c>
    </row>
    <row r="10" customFormat="false" ht="15" hidden="false" customHeight="false" outlineLevel="0" collapsed="false">
      <c r="B10" s="8" t="s">
        <v>10</v>
      </c>
      <c r="C10" s="6" t="s">
        <v>11</v>
      </c>
    </row>
    <row r="11" customFormat="false" ht="15" hidden="false" customHeight="false" outlineLevel="0" collapsed="false">
      <c r="B11" s="9" t="s">
        <v>10</v>
      </c>
      <c r="C11" s="6" t="s">
        <v>12</v>
      </c>
    </row>
    <row r="12" customFormat="false" ht="15" hidden="false" customHeight="false" outlineLevel="0" collapsed="false">
      <c r="B12" s="10" t="s">
        <v>10</v>
      </c>
      <c r="C12" s="6" t="s">
        <v>13</v>
      </c>
    </row>
    <row r="13" customFormat="false" ht="15" hidden="false" customHeight="false" outlineLevel="0" collapsed="false">
      <c r="B13" s="11" t="s">
        <v>10</v>
      </c>
      <c r="C13" s="6" t="s">
        <v>14</v>
      </c>
    </row>
    <row r="14" customFormat="false" ht="15" hidden="false" customHeight="false" outlineLevel="0" collapsed="false">
      <c r="B14" s="12" t="s">
        <v>10</v>
      </c>
      <c r="C14" s="6" t="s">
        <v>15</v>
      </c>
    </row>
    <row r="15" customFormat="false" ht="15" hidden="false" customHeight="false" outlineLevel="0" collapsed="false">
      <c r="B15" s="13" t="s">
        <v>10</v>
      </c>
      <c r="C15" s="6" t="s">
        <v>16</v>
      </c>
    </row>
    <row r="17" customFormat="false" ht="19.5" hidden="false" customHeight="true" outlineLevel="0" collapsed="false">
      <c r="B17" s="4" t="s">
        <v>17</v>
      </c>
      <c r="C17" s="4"/>
    </row>
    <row r="18" customFormat="false" ht="15" hidden="false" customHeight="false" outlineLevel="0" collapsed="false">
      <c r="B18" s="14" t="s">
        <v>18</v>
      </c>
      <c r="C18" s="15" t="s">
        <v>19</v>
      </c>
    </row>
    <row r="19" customFormat="false" ht="23.85" hidden="false" customHeight="false" outlineLevel="0" collapsed="false">
      <c r="B19" s="14" t="s">
        <v>20</v>
      </c>
      <c r="C19" s="15" t="s">
        <v>21</v>
      </c>
    </row>
    <row r="20" customFormat="false" ht="15" hidden="false" customHeight="false" outlineLevel="0" collapsed="false">
      <c r="B20" s="14" t="s">
        <v>22</v>
      </c>
      <c r="C20" s="15" t="s">
        <v>23</v>
      </c>
    </row>
    <row r="21" customFormat="false" ht="15" hidden="false" customHeight="false" outlineLevel="0" collapsed="false">
      <c r="B21" s="14" t="s">
        <v>24</v>
      </c>
      <c r="C21" s="15" t="s">
        <v>25</v>
      </c>
    </row>
    <row r="22" customFormat="false" ht="23.85" hidden="false" customHeight="false" outlineLevel="0" collapsed="false">
      <c r="B22" s="14" t="s">
        <v>26</v>
      </c>
      <c r="C22" s="15" t="s">
        <v>27</v>
      </c>
    </row>
    <row r="23" customFormat="false" ht="15" hidden="false" customHeight="false" outlineLevel="0" collapsed="false">
      <c r="B23" s="14" t="s">
        <v>28</v>
      </c>
      <c r="C23" s="15" t="s">
        <v>29</v>
      </c>
    </row>
    <row r="24" customFormat="false" ht="15" hidden="false" customHeight="false" outlineLevel="0" collapsed="false">
      <c r="B24" s="14" t="s">
        <v>30</v>
      </c>
      <c r="C24" s="15" t="s">
        <v>31</v>
      </c>
    </row>
    <row r="25" customFormat="false" ht="15" hidden="false" customHeight="false" outlineLevel="0" collapsed="false">
      <c r="B25" s="14" t="s">
        <v>32</v>
      </c>
      <c r="C25" s="15" t="s">
        <v>33</v>
      </c>
    </row>
    <row r="26" customFormat="false" ht="15" hidden="false" customHeight="false" outlineLevel="0" collapsed="false">
      <c r="B26" s="14" t="s">
        <v>34</v>
      </c>
      <c r="C26" s="15" t="s">
        <v>35</v>
      </c>
    </row>
    <row r="27" customFormat="false" ht="15" hidden="false" customHeight="false" outlineLevel="0" collapsed="false">
      <c r="B27" s="14" t="s">
        <v>36</v>
      </c>
      <c r="C27" s="15" t="s">
        <v>37</v>
      </c>
    </row>
    <row r="29" customFormat="false" ht="19.5" hidden="false" customHeight="true" outlineLevel="0" collapsed="false">
      <c r="B29" s="4" t="s">
        <v>38</v>
      </c>
      <c r="C29" s="4"/>
    </row>
    <row r="30" customFormat="false" ht="30" hidden="false" customHeight="true" outlineLevel="0" collapsed="false">
      <c r="B30" s="2" t="s">
        <v>39</v>
      </c>
      <c r="C30" s="16" t="s">
        <v>40</v>
      </c>
    </row>
    <row r="31" customFormat="false" ht="30" hidden="false" customHeight="true" outlineLevel="0" collapsed="false">
      <c r="B31" s="2" t="s">
        <v>39</v>
      </c>
      <c r="C31" s="16" t="s">
        <v>41</v>
      </c>
    </row>
    <row r="32" customFormat="false" ht="30" hidden="false" customHeight="true" outlineLevel="0" collapsed="false">
      <c r="B32" s="2" t="s">
        <v>39</v>
      </c>
      <c r="C32" s="16" t="s">
        <v>42</v>
      </c>
    </row>
    <row r="33" customFormat="false" ht="30" hidden="false" customHeight="true" outlineLevel="0" collapsed="false">
      <c r="B33" s="2" t="s">
        <v>39</v>
      </c>
      <c r="C33" s="16" t="s">
        <v>43</v>
      </c>
    </row>
    <row r="34" customFormat="false" ht="30" hidden="false" customHeight="true" outlineLevel="0" collapsed="false">
      <c r="B34" s="2" t="s">
        <v>39</v>
      </c>
      <c r="C34" s="16" t="s">
        <v>44</v>
      </c>
    </row>
    <row r="35" customFormat="false" ht="30" hidden="false" customHeight="true" outlineLevel="0" collapsed="false">
      <c r="B35" s="2" t="s">
        <v>39</v>
      </c>
      <c r="C35" s="16" t="s">
        <v>45</v>
      </c>
    </row>
    <row r="36" customFormat="false" ht="30" hidden="false" customHeight="true" outlineLevel="0" collapsed="false">
      <c r="B36" s="2" t="s">
        <v>39</v>
      </c>
      <c r="C36" s="16" t="s">
        <v>46</v>
      </c>
    </row>
  </sheetData>
  <mergeCells count="4">
    <mergeCell ref="A1:D2"/>
    <mergeCell ref="B7:C7"/>
    <mergeCell ref="B17:C17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4" min="1" style="0" width="10.5"/>
  </cols>
  <sheetData>
    <row r="1" customFormat="false" ht="30" hidden="false" customHeight="true" outlineLevel="0" collapsed="false">
      <c r="A1" s="17" t="s">
        <v>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customFormat="false" ht="15" hidden="false" customHeight="false" outlineLevel="0" collapsed="false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customFormat="false" ht="18" hidden="false" customHeight="true" outlineLevel="0" collapsed="false">
      <c r="A3" s="18" t="str">
        <f aca="true">CONCATENATE("Report Date: ",TEXT(TODAY(),"yyyy-mm-dd")," | Project Health: ",_xlfn.IFS($C$18&gt;0.15,"Red - At Risk",$C$18&gt;0.05,"Yellow - Caution",TRUE(),"Green - On Track"))</f>
        <v>Report Date: 2026-07-26 | Project Health: Red - At Risk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customFormat="false" ht="19.5" hidden="false" customHeight="true" outlineLevel="0" collapsed="false">
      <c r="A5" s="19" t="s">
        <v>48</v>
      </c>
      <c r="B5" s="19"/>
      <c r="C5" s="20" t="s">
        <v>49</v>
      </c>
      <c r="D5" s="20"/>
      <c r="E5" s="21" t="s">
        <v>50</v>
      </c>
      <c r="F5" s="21"/>
      <c r="G5" s="22" t="s">
        <v>51</v>
      </c>
      <c r="H5" s="22"/>
      <c r="I5" s="23" t="s">
        <v>52</v>
      </c>
      <c r="J5" s="23"/>
      <c r="K5" s="24" t="s">
        <v>53</v>
      </c>
      <c r="L5" s="24"/>
    </row>
    <row r="6" customFormat="false" ht="15" hidden="false" customHeight="false" outlineLevel="0" collapsed="false">
      <c r="A6" s="25" t="n">
        <f aca="false">IFERROR(AVERAGE('Master Task List'!$J$2:$J$600),0)</f>
        <v>0.342777777777778</v>
      </c>
      <c r="B6" s="25"/>
      <c r="C6" s="26" t="n">
        <f aca="false">COUNTIF('Master Task List'!$I:$I,"Completed")</f>
        <v>16</v>
      </c>
      <c r="D6" s="26"/>
      <c r="E6" s="26" t="n">
        <f aca="false">COUNTIF('Master Task List'!$I:$I,"Design")+COUNTIF('Master Task List'!$I:$I,"Development")+COUNTIF('Master Task List'!$I:$I,"Testing")+COUNTIF('Master Task List'!$I:$I,"Review")</f>
        <v>23</v>
      </c>
      <c r="F6" s="26"/>
      <c r="G6" s="26" t="n">
        <f aca="false">COUNTIF('Master Task List'!$I:$I,"Not Started")+COUNTIF('Master Task List'!$I:$I,"Planning")+COUNTIF('Master Task List'!$I:$I,"Blocked")</f>
        <v>50</v>
      </c>
      <c r="H6" s="26"/>
      <c r="I6" s="26" t="n">
        <f aca="false">SUM('Master Task List'!$S$2:$S$600)</f>
        <v>12</v>
      </c>
      <c r="J6" s="26"/>
      <c r="K6" s="26" t="n">
        <f aca="false">COUNTIFS('Master Task List'!$F:$F,"Critical",'Master Task List'!$I:$I,"&lt;&gt;Completed",'Master Task List'!$I:$I,"&lt;&gt;Cancelled")</f>
        <v>4</v>
      </c>
      <c r="L6" s="26"/>
    </row>
    <row r="7" customFormat="false" ht="15" hidden="false" customHeight="false" outlineLevel="0" collapsed="false">
      <c r="A7" s="25"/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customFormat="false" ht="15" hidden="false" customHeight="false" outlineLevel="0" collapsed="false">
      <c r="A8" s="25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</row>
    <row r="10" customFormat="false" ht="19.5" hidden="false" customHeight="true" outlineLevel="0" collapsed="false">
      <c r="A10" s="27" t="s">
        <v>54</v>
      </c>
      <c r="B10" s="27"/>
      <c r="C10" s="27"/>
      <c r="D10" s="28" t="s">
        <v>55</v>
      </c>
      <c r="E10" s="28"/>
      <c r="F10" s="28"/>
      <c r="G10" s="29" t="s">
        <v>56</v>
      </c>
      <c r="H10" s="29"/>
      <c r="I10" s="29"/>
      <c r="J10" s="30" t="s">
        <v>57</v>
      </c>
      <c r="K10" s="30"/>
      <c r="L10" s="30"/>
    </row>
    <row r="11" customFormat="false" ht="15" hidden="false" customHeight="false" outlineLevel="0" collapsed="false">
      <c r="A11" s="26" t="n">
        <f aca="true">COUNTIFS(Milestones!$C:$C,"&gt;="&amp;TODAY(),Milestones!$C:$C,"&lt;="&amp;TODAY()+30,Milestones!$D:$D,"&lt;&gt;Completed")</f>
        <v>1</v>
      </c>
      <c r="B11" s="26"/>
      <c r="C11" s="26"/>
      <c r="D11" s="26" t="str">
        <f aca="false">_xlfn.IFS($C$18&gt;0.15,"🔴 At Risk",$C$18&gt;0.05,"🟡 Caution",TRUE(),"🟢 On Track")</f>
        <v>🔴 At Risk</v>
      </c>
      <c r="E11" s="26"/>
      <c r="F11" s="26"/>
      <c r="G11" s="31" t="s">
        <v>58</v>
      </c>
      <c r="H11" s="31"/>
      <c r="I11" s="31"/>
      <c r="J11" s="32" t="n">
        <f aca="false">MAX(Milestones!$C:$C)</f>
        <v>46451</v>
      </c>
      <c r="K11" s="32"/>
      <c r="L11" s="32"/>
    </row>
    <row r="12" customFormat="false" ht="15" hidden="false" customHeight="false" outlineLevel="0" collapsed="false">
      <c r="A12" s="26"/>
      <c r="B12" s="26"/>
      <c r="C12" s="26"/>
      <c r="D12" s="26"/>
      <c r="E12" s="26"/>
      <c r="F12" s="26"/>
      <c r="G12" s="31"/>
      <c r="H12" s="31"/>
      <c r="I12" s="31"/>
      <c r="J12" s="32"/>
      <c r="K12" s="32"/>
      <c r="L12" s="32"/>
    </row>
    <row r="13" customFormat="false" ht="15" hidden="false" customHeight="false" outlineLevel="0" collapsed="false">
      <c r="A13" s="26"/>
      <c r="B13" s="26"/>
      <c r="C13" s="26"/>
      <c r="D13" s="26"/>
      <c r="E13" s="26"/>
      <c r="F13" s="26"/>
      <c r="G13" s="31"/>
      <c r="H13" s="31"/>
      <c r="I13" s="31"/>
      <c r="J13" s="32"/>
      <c r="K13" s="32"/>
      <c r="L13" s="32"/>
    </row>
    <row r="18" customFormat="false" ht="15" hidden="true" customHeight="false" outlineLevel="0" collapsed="false">
      <c r="B18" s="33" t="s">
        <v>59</v>
      </c>
      <c r="C18" s="34" t="n">
        <f aca="false">IFERROR(SUM('Master Task List'!$S$2:$S$600)/COUNTIFS('Master Task List'!$I:$I,"&lt;&gt;Completed",'Master Task List'!$I:$I,"&lt;&gt;Cancelled",'Master Task List'!$A:$A,"&lt;&gt;"),0)</f>
        <v>0.162162162162162</v>
      </c>
    </row>
    <row r="20" customFormat="false" ht="15.75" hidden="false" customHeight="true" outlineLevel="0" collapsed="false">
      <c r="A20" s="35" t="str">
        <f aca="false">CONCATENATE("Project: ضماناتي (Damanaty)   |   Total Tasks: ",COUNTIF('Master Task List'!$A:$A,"DMT-*")," legend: blue text = editable input cells")</f>
        <v>Project: ضماناتي (Damanaty)   |   Total Tasks: 90 legend: blue text = editable input cells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</sheetData>
  <mergeCells count="23">
    <mergeCell ref="A1:N2"/>
    <mergeCell ref="A3:N3"/>
    <mergeCell ref="A5:B5"/>
    <mergeCell ref="C5:D5"/>
    <mergeCell ref="E5:F5"/>
    <mergeCell ref="G5:H5"/>
    <mergeCell ref="I5:J5"/>
    <mergeCell ref="K5:L5"/>
    <mergeCell ref="A6:B8"/>
    <mergeCell ref="C6:D8"/>
    <mergeCell ref="E6:F8"/>
    <mergeCell ref="G6:H8"/>
    <mergeCell ref="I6:J8"/>
    <mergeCell ref="K6:L8"/>
    <mergeCell ref="A10:C10"/>
    <mergeCell ref="D10:F10"/>
    <mergeCell ref="G10:I10"/>
    <mergeCell ref="J10:L10"/>
    <mergeCell ref="A11:C13"/>
    <mergeCell ref="D11:F13"/>
    <mergeCell ref="G11:I13"/>
    <mergeCell ref="J11:L13"/>
    <mergeCell ref="A20:N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6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5" min="13" style="0" width="13"/>
    <col collapsed="false" customWidth="true" hidden="false" outlineLevel="0" max="16" min="16" style="0" width="12"/>
    <col collapsed="false" customWidth="true" hidden="false" outlineLevel="0" max="17" min="17" style="0" width="10"/>
    <col collapsed="false" customWidth="true" hidden="false" outlineLevel="0" max="18" min="18" style="0" width="30"/>
    <col collapsed="false" customWidth="true" hidden="true" outlineLevel="0" max="21" min="19" style="0" width="9"/>
    <col collapsed="false" customWidth="true" hidden="false" outlineLevel="0" max="25" min="22" style="0" width="9"/>
  </cols>
  <sheetData>
    <row r="1" customFormat="false" ht="21.75" hidden="false" customHeight="true" outlineLevel="0" collapsed="false">
      <c r="A1" s="36" t="s">
        <v>60</v>
      </c>
      <c r="B1" s="36" t="s">
        <v>61</v>
      </c>
      <c r="C1" s="36" t="s">
        <v>62</v>
      </c>
      <c r="D1" s="36" t="s">
        <v>63</v>
      </c>
      <c r="E1" s="36" t="s">
        <v>64</v>
      </c>
      <c r="F1" s="36" t="s">
        <v>65</v>
      </c>
      <c r="G1" s="36" t="s">
        <v>66</v>
      </c>
      <c r="H1" s="36" t="s">
        <v>67</v>
      </c>
      <c r="I1" s="36" t="s">
        <v>68</v>
      </c>
      <c r="J1" s="36" t="s">
        <v>69</v>
      </c>
      <c r="K1" s="36" t="s">
        <v>70</v>
      </c>
      <c r="L1" s="36" t="s">
        <v>71</v>
      </c>
      <c r="M1" s="36" t="s">
        <v>72</v>
      </c>
      <c r="N1" s="36" t="s">
        <v>73</v>
      </c>
      <c r="O1" s="36" t="s">
        <v>74</v>
      </c>
      <c r="P1" s="36" t="s">
        <v>75</v>
      </c>
      <c r="Q1" s="36" t="s">
        <v>76</v>
      </c>
      <c r="R1" s="36" t="s">
        <v>77</v>
      </c>
      <c r="S1" s="36" t="s">
        <v>78</v>
      </c>
      <c r="T1" s="36" t="s">
        <v>79</v>
      </c>
      <c r="U1" s="36" t="s">
        <v>80</v>
      </c>
      <c r="V1" s="36" t="s">
        <v>81</v>
      </c>
      <c r="W1" s="36" t="s">
        <v>82</v>
      </c>
      <c r="X1" s="36" t="s">
        <v>83</v>
      </c>
      <c r="Y1" s="36" t="s">
        <v>84</v>
      </c>
    </row>
    <row r="2" customFormat="false" ht="15" hidden="false" customHeight="false" outlineLevel="0" collapsed="false">
      <c r="A2" s="0" t="s">
        <v>85</v>
      </c>
      <c r="B2" s="3" t="s">
        <v>86</v>
      </c>
      <c r="C2" s="0" t="s">
        <v>87</v>
      </c>
      <c r="D2" s="0" t="s">
        <v>88</v>
      </c>
      <c r="E2" s="0" t="s">
        <v>89</v>
      </c>
      <c r="F2" s="3" t="s">
        <v>90</v>
      </c>
      <c r="G2" s="3" t="s">
        <v>91</v>
      </c>
      <c r="H2" s="3" t="s">
        <v>92</v>
      </c>
      <c r="I2" s="3" t="s">
        <v>93</v>
      </c>
      <c r="J2" s="37" t="n">
        <f aca="false">IF($A2="","",IFERROR(INDEX(Lists!$B$2:$B$10,MATCH($I2,Lists!$A$2:$A$10,0)),""))</f>
        <v>1</v>
      </c>
      <c r="K2" s="38" t="n">
        <v>46027</v>
      </c>
      <c r="L2" s="38" t="n">
        <v>46036</v>
      </c>
      <c r="M2" s="38" t="n">
        <v>46034</v>
      </c>
      <c r="N2" s="3" t="n">
        <f aca="false">IF($A2="","",$L2-$K2+1)</f>
        <v>10</v>
      </c>
      <c r="O2" s="39" t="n">
        <f aca="true">IF($A2="","",IF(OR($I2="Completed",$I2="Cancelled"),0,$L2-TODAY()))</f>
        <v>0</v>
      </c>
      <c r="Q2" s="3" t="s">
        <v>90</v>
      </c>
      <c r="S2" s="3" t="n">
        <f aca="false">IF($A2="","",IF(AND($O2&lt;0,$I2&lt;&gt;"Completed",$I2&lt;&gt;"Cancelled"),1,0))</f>
        <v>0</v>
      </c>
      <c r="T2" s="3" t="n">
        <f aca="false">IF($A2="","",IF($I2="Completed",ROW(),""))</f>
        <v>2</v>
      </c>
      <c r="U2" s="0" t="str">
        <f aca="false">IF($A2="","",IF(OR($I2="Not Started",$I2="Planning",$I2="Blocked"),ROW(),""))</f>
        <v/>
      </c>
    </row>
    <row r="3" customFormat="false" ht="15" hidden="false" customHeight="false" outlineLevel="0" collapsed="false">
      <c r="A3" s="0" t="s">
        <v>94</v>
      </c>
      <c r="B3" s="3" t="s">
        <v>86</v>
      </c>
      <c r="C3" s="0" t="s">
        <v>87</v>
      </c>
      <c r="D3" s="0" t="s">
        <v>95</v>
      </c>
      <c r="E3" s="0" t="s">
        <v>96</v>
      </c>
      <c r="F3" s="3" t="s">
        <v>97</v>
      </c>
      <c r="G3" s="3" t="s">
        <v>91</v>
      </c>
      <c r="H3" s="3" t="s">
        <v>92</v>
      </c>
      <c r="I3" s="3" t="s">
        <v>93</v>
      </c>
      <c r="J3" s="37" t="n">
        <f aca="false">IF($A3="","",IFERROR(INDEX(Lists!$B$2:$B$10,MATCH($I3,Lists!$A$2:$A$10,0)),""))</f>
        <v>1</v>
      </c>
      <c r="K3" s="38" t="n">
        <v>46037</v>
      </c>
      <c r="L3" s="38" t="n">
        <v>46046</v>
      </c>
      <c r="M3" s="38" t="n">
        <v>46049</v>
      </c>
      <c r="N3" s="3" t="n">
        <f aca="false">IF($A3="","",$L3-$K3+1)</f>
        <v>10</v>
      </c>
      <c r="O3" s="39" t="n">
        <f aca="true">IF($A3="","",IF(OR($I3="Completed",$I3="Cancelled"),0,$L3-TODAY()))</f>
        <v>0</v>
      </c>
      <c r="P3" s="3" t="s">
        <v>85</v>
      </c>
      <c r="Q3" s="3" t="s">
        <v>90</v>
      </c>
      <c r="S3" s="3" t="n">
        <f aca="false">IF($A3="","",IF(AND($O3&lt;0,$I3&lt;&gt;"Completed",$I3&lt;&gt;"Cancelled"),1,0))</f>
        <v>0</v>
      </c>
      <c r="T3" s="3" t="n">
        <f aca="false">IF($A3="","",IF($I3="Completed",ROW(),""))</f>
        <v>3</v>
      </c>
      <c r="U3" s="0" t="str">
        <f aca="false">IF($A3="","",IF(OR($I3="Not Started",$I3="Planning",$I3="Blocked"),ROW(),""))</f>
        <v/>
      </c>
    </row>
    <row r="4" customFormat="false" ht="15" hidden="false" customHeight="false" outlineLevel="0" collapsed="false">
      <c r="A4" s="0" t="s">
        <v>98</v>
      </c>
      <c r="B4" s="3" t="s">
        <v>86</v>
      </c>
      <c r="C4" s="0" t="s">
        <v>99</v>
      </c>
      <c r="D4" s="0" t="s">
        <v>100</v>
      </c>
      <c r="E4" s="0" t="s">
        <v>101</v>
      </c>
      <c r="F4" s="3" t="s">
        <v>97</v>
      </c>
      <c r="G4" s="3" t="s">
        <v>91</v>
      </c>
      <c r="H4" s="3" t="s">
        <v>92</v>
      </c>
      <c r="I4" s="3" t="s">
        <v>93</v>
      </c>
      <c r="J4" s="37" t="n">
        <f aca="false">IF($A4="","",IFERROR(INDEX(Lists!$B$2:$B$10,MATCH($I4,Lists!$A$2:$A$10,0)),""))</f>
        <v>1</v>
      </c>
      <c r="K4" s="38" t="n">
        <v>46047</v>
      </c>
      <c r="L4" s="38" t="n">
        <v>46056</v>
      </c>
      <c r="M4" s="38" t="n">
        <v>46054</v>
      </c>
      <c r="N4" s="3" t="n">
        <f aca="false">IF($A4="","",$L4-$K4+1)</f>
        <v>10</v>
      </c>
      <c r="O4" s="39" t="n">
        <f aca="true">IF($A4="","",IF(OR($I4="Completed",$I4="Cancelled"),0,$L4-TODAY()))</f>
        <v>0</v>
      </c>
      <c r="P4" s="3" t="s">
        <v>94</v>
      </c>
      <c r="Q4" s="3" t="s">
        <v>90</v>
      </c>
      <c r="S4" s="3" t="n">
        <f aca="false">IF($A4="","",IF(AND($O4&lt;0,$I4&lt;&gt;"Completed",$I4&lt;&gt;"Cancelled"),1,0))</f>
        <v>0</v>
      </c>
      <c r="T4" s="3" t="n">
        <f aca="false">IF($A4="","",IF($I4="Completed",ROW(),""))</f>
        <v>4</v>
      </c>
      <c r="U4" s="0" t="str">
        <f aca="false">IF($A4="","",IF(OR($I4="Not Started",$I4="Planning",$I4="Blocked"),ROW(),""))</f>
        <v/>
      </c>
    </row>
    <row r="5" customFormat="false" ht="15" hidden="false" customHeight="false" outlineLevel="0" collapsed="false">
      <c r="A5" s="0" t="s">
        <v>102</v>
      </c>
      <c r="B5" s="3" t="s">
        <v>103</v>
      </c>
      <c r="C5" s="0" t="s">
        <v>104</v>
      </c>
      <c r="D5" s="0" t="s">
        <v>105</v>
      </c>
      <c r="E5" s="0" t="s">
        <v>106</v>
      </c>
      <c r="F5" s="3" t="s">
        <v>90</v>
      </c>
      <c r="G5" s="3" t="s">
        <v>107</v>
      </c>
      <c r="H5" s="3" t="s">
        <v>103</v>
      </c>
      <c r="I5" s="3" t="s">
        <v>93</v>
      </c>
      <c r="J5" s="37" t="n">
        <f aca="false">IF($A5="","",IFERROR(INDEX(Lists!$B$2:$B$10,MATCH($I5,Lists!$A$2:$A$10,0)),""))</f>
        <v>1</v>
      </c>
      <c r="K5" s="38" t="n">
        <v>46042</v>
      </c>
      <c r="L5" s="38" t="n">
        <v>46056</v>
      </c>
      <c r="M5" s="38" t="n">
        <v>46054</v>
      </c>
      <c r="N5" s="3" t="n">
        <f aca="false">IF($A5="","",$L5-$K5+1)</f>
        <v>15</v>
      </c>
      <c r="O5" s="39" t="n">
        <f aca="true">IF($A5="","",IF(OR($I5="Completed",$I5="Cancelled"),0,$L5-TODAY()))</f>
        <v>0</v>
      </c>
      <c r="P5" s="3" t="s">
        <v>85</v>
      </c>
      <c r="Q5" s="3" t="s">
        <v>90</v>
      </c>
      <c r="S5" s="3" t="n">
        <f aca="false">IF($A5="","",IF(AND($O5&lt;0,$I5&lt;&gt;"Completed",$I5&lt;&gt;"Cancelled"),1,0))</f>
        <v>0</v>
      </c>
      <c r="T5" s="3" t="n">
        <f aca="false">IF($A5="","",IF($I5="Completed",ROW(),""))</f>
        <v>5</v>
      </c>
      <c r="U5" s="0" t="str">
        <f aca="false">IF($A5="","",IF(OR($I5="Not Started",$I5="Planning",$I5="Blocked"),ROW(),""))</f>
        <v/>
      </c>
    </row>
    <row r="6" customFormat="false" ht="15" hidden="false" customHeight="false" outlineLevel="0" collapsed="false">
      <c r="A6" s="0" t="s">
        <v>108</v>
      </c>
      <c r="B6" s="3" t="s">
        <v>103</v>
      </c>
      <c r="C6" s="0" t="s">
        <v>104</v>
      </c>
      <c r="D6" s="0" t="s">
        <v>109</v>
      </c>
      <c r="E6" s="0" t="s">
        <v>110</v>
      </c>
      <c r="F6" s="3" t="s">
        <v>97</v>
      </c>
      <c r="G6" s="3" t="s">
        <v>107</v>
      </c>
      <c r="H6" s="3" t="s">
        <v>103</v>
      </c>
      <c r="I6" s="3" t="s">
        <v>93</v>
      </c>
      <c r="J6" s="37" t="n">
        <f aca="false">IF($A6="","",IFERROR(INDEX(Lists!$B$2:$B$10,MATCH($I6,Lists!$A$2:$A$10,0)),""))</f>
        <v>1</v>
      </c>
      <c r="K6" s="38" t="n">
        <v>46057</v>
      </c>
      <c r="L6" s="38" t="n">
        <v>46072</v>
      </c>
      <c r="M6" s="38" t="n">
        <v>46075</v>
      </c>
      <c r="N6" s="3" t="n">
        <f aca="false">IF($A6="","",$L6-$K6+1)</f>
        <v>16</v>
      </c>
      <c r="O6" s="39" t="n">
        <f aca="true">IF($A6="","",IF(OR($I6="Completed",$I6="Cancelled"),0,$L6-TODAY()))</f>
        <v>0</v>
      </c>
      <c r="P6" s="3" t="s">
        <v>102</v>
      </c>
      <c r="Q6" s="3" t="s">
        <v>90</v>
      </c>
      <c r="S6" s="3" t="n">
        <f aca="false">IF($A6="","",IF(AND($O6&lt;0,$I6&lt;&gt;"Completed",$I6&lt;&gt;"Cancelled"),1,0))</f>
        <v>0</v>
      </c>
      <c r="T6" s="3" t="n">
        <f aca="false">IF($A6="","",IF($I6="Completed",ROW(),""))</f>
        <v>6</v>
      </c>
      <c r="U6" s="0" t="str">
        <f aca="false">IF($A6="","",IF(OR($I6="Not Started",$I6="Planning",$I6="Blocked"),ROW(),""))</f>
        <v/>
      </c>
    </row>
    <row r="7" customFormat="false" ht="15" hidden="false" customHeight="false" outlineLevel="0" collapsed="false">
      <c r="A7" s="0" t="s">
        <v>111</v>
      </c>
      <c r="B7" s="3" t="s">
        <v>103</v>
      </c>
      <c r="C7" s="0" t="s">
        <v>112</v>
      </c>
      <c r="D7" s="0" t="s">
        <v>113</v>
      </c>
      <c r="E7" s="0" t="s">
        <v>114</v>
      </c>
      <c r="F7" s="3" t="s">
        <v>97</v>
      </c>
      <c r="G7" s="3" t="s">
        <v>107</v>
      </c>
      <c r="H7" s="3" t="s">
        <v>103</v>
      </c>
      <c r="I7" s="3" t="s">
        <v>93</v>
      </c>
      <c r="J7" s="37" t="n">
        <f aca="false">IF($A7="","",IFERROR(INDEX(Lists!$B$2:$B$10,MATCH($I7,Lists!$A$2:$A$10,0)),""))</f>
        <v>1</v>
      </c>
      <c r="K7" s="38" t="n">
        <v>46073</v>
      </c>
      <c r="L7" s="38" t="n">
        <v>46087</v>
      </c>
      <c r="M7" s="38" t="n">
        <v>46085</v>
      </c>
      <c r="N7" s="3" t="n">
        <f aca="false">IF($A7="","",$L7-$K7+1)</f>
        <v>15</v>
      </c>
      <c r="O7" s="39" t="n">
        <f aca="true">IF($A7="","",IF(OR($I7="Completed",$I7="Cancelled"),0,$L7-TODAY()))</f>
        <v>0</v>
      </c>
      <c r="P7" s="3" t="s">
        <v>108</v>
      </c>
      <c r="Q7" s="3" t="s">
        <v>90</v>
      </c>
      <c r="S7" s="3" t="n">
        <f aca="false">IF($A7="","",IF(AND($O7&lt;0,$I7&lt;&gt;"Completed",$I7&lt;&gt;"Cancelled"),1,0))</f>
        <v>0</v>
      </c>
      <c r="T7" s="3" t="n">
        <f aca="false">IF($A7="","",IF($I7="Completed",ROW(),""))</f>
        <v>7</v>
      </c>
      <c r="U7" s="0" t="str">
        <f aca="false">IF($A7="","",IF(OR($I7="Not Started",$I7="Planning",$I7="Blocked"),ROW(),""))</f>
        <v/>
      </c>
    </row>
    <row r="8" customFormat="false" ht="15" hidden="false" customHeight="false" outlineLevel="0" collapsed="false">
      <c r="A8" s="0" t="s">
        <v>115</v>
      </c>
      <c r="B8" s="3" t="s">
        <v>116</v>
      </c>
      <c r="C8" s="0" t="s">
        <v>117</v>
      </c>
      <c r="D8" s="0" t="s">
        <v>118</v>
      </c>
      <c r="E8" s="0" t="s">
        <v>119</v>
      </c>
      <c r="F8" s="3" t="s">
        <v>97</v>
      </c>
      <c r="G8" s="3" t="s">
        <v>120</v>
      </c>
      <c r="H8" s="3" t="s">
        <v>121</v>
      </c>
      <c r="I8" s="3" t="s">
        <v>93</v>
      </c>
      <c r="J8" s="37" t="n">
        <f aca="false">IF($A8="","",IFERROR(INDEX(Lists!$B$2:$B$10,MATCH($I8,Lists!$A$2:$A$10,0)),""))</f>
        <v>1</v>
      </c>
      <c r="K8" s="38" t="n">
        <v>46073</v>
      </c>
      <c r="L8" s="38" t="n">
        <v>46092</v>
      </c>
      <c r="M8" s="38" t="n">
        <v>46090</v>
      </c>
      <c r="N8" s="3" t="n">
        <f aca="false">IF($A8="","",$L8-$K8+1)</f>
        <v>20</v>
      </c>
      <c r="O8" s="39" t="n">
        <f aca="true">IF($A8="","",IF(OR($I8="Completed",$I8="Cancelled"),0,$L8-TODAY()))</f>
        <v>0</v>
      </c>
      <c r="P8" s="3" t="s">
        <v>102</v>
      </c>
      <c r="Q8" s="3" t="s">
        <v>90</v>
      </c>
      <c r="S8" s="3" t="n">
        <f aca="false">IF($A8="","",IF(AND($O8&lt;0,$I8&lt;&gt;"Completed",$I8&lt;&gt;"Cancelled"),1,0))</f>
        <v>0</v>
      </c>
      <c r="T8" s="3" t="n">
        <f aca="false">IF($A8="","",IF($I8="Completed",ROW(),""))</f>
        <v>8</v>
      </c>
      <c r="U8" s="0" t="str">
        <f aca="false">IF($A8="","",IF(OR($I8="Not Started",$I8="Planning",$I8="Blocked"),ROW(),""))</f>
        <v/>
      </c>
    </row>
    <row r="9" customFormat="false" ht="15" hidden="false" customHeight="false" outlineLevel="0" collapsed="false">
      <c r="A9" s="0" t="s">
        <v>122</v>
      </c>
      <c r="B9" s="3" t="s">
        <v>116</v>
      </c>
      <c r="C9" s="0" t="s">
        <v>123</v>
      </c>
      <c r="D9" s="0" t="s">
        <v>124</v>
      </c>
      <c r="E9" s="0" t="s">
        <v>125</v>
      </c>
      <c r="F9" s="3" t="s">
        <v>97</v>
      </c>
      <c r="G9" s="3" t="s">
        <v>120</v>
      </c>
      <c r="H9" s="3" t="s">
        <v>121</v>
      </c>
      <c r="I9" s="3" t="s">
        <v>93</v>
      </c>
      <c r="J9" s="37" t="n">
        <f aca="false">IF($A9="","",IFERROR(INDEX(Lists!$B$2:$B$10,MATCH($I9,Lists!$A$2:$A$10,0)),""))</f>
        <v>1</v>
      </c>
      <c r="K9" s="38" t="n">
        <v>46093</v>
      </c>
      <c r="L9" s="38" t="n">
        <v>46112</v>
      </c>
      <c r="M9" s="38" t="n">
        <v>46115</v>
      </c>
      <c r="N9" s="3" t="n">
        <f aca="false">IF($A9="","",$L9-$K9+1)</f>
        <v>20</v>
      </c>
      <c r="O9" s="39" t="n">
        <f aca="true">IF($A9="","",IF(OR($I9="Completed",$I9="Cancelled"),0,$L9-TODAY()))</f>
        <v>0</v>
      </c>
      <c r="P9" s="3" t="s">
        <v>115</v>
      </c>
      <c r="Q9" s="3" t="s">
        <v>90</v>
      </c>
      <c r="S9" s="3" t="n">
        <f aca="false">IF($A9="","",IF(AND($O9&lt;0,$I9&lt;&gt;"Completed",$I9&lt;&gt;"Cancelled"),1,0))</f>
        <v>0</v>
      </c>
      <c r="T9" s="3" t="n">
        <f aca="false">IF($A9="","",IF($I9="Completed",ROW(),""))</f>
        <v>9</v>
      </c>
      <c r="U9" s="0" t="str">
        <f aca="false">IF($A9="","",IF(OR($I9="Not Started",$I9="Planning",$I9="Blocked"),ROW(),""))</f>
        <v/>
      </c>
    </row>
    <row r="10" customFormat="false" ht="15" hidden="false" customHeight="false" outlineLevel="0" collapsed="false">
      <c r="A10" s="0" t="s">
        <v>126</v>
      </c>
      <c r="B10" s="3" t="s">
        <v>116</v>
      </c>
      <c r="C10" s="0" t="s">
        <v>127</v>
      </c>
      <c r="D10" s="0" t="s">
        <v>128</v>
      </c>
      <c r="E10" s="0" t="s">
        <v>129</v>
      </c>
      <c r="F10" s="3" t="s">
        <v>97</v>
      </c>
      <c r="G10" s="3" t="s">
        <v>120</v>
      </c>
      <c r="H10" s="3" t="s">
        <v>121</v>
      </c>
      <c r="I10" s="3" t="s">
        <v>93</v>
      </c>
      <c r="J10" s="37" t="n">
        <f aca="false">IF($A10="","",IFERROR(INDEX(Lists!$B$2:$B$10,MATCH($I10,Lists!$A$2:$A$10,0)),""))</f>
        <v>1</v>
      </c>
      <c r="K10" s="38" t="n">
        <v>46113</v>
      </c>
      <c r="L10" s="38" t="n">
        <v>46132</v>
      </c>
      <c r="M10" s="38" t="n">
        <v>46130</v>
      </c>
      <c r="N10" s="3" t="n">
        <f aca="false">IF($A10="","",$L10-$K10+1)</f>
        <v>20</v>
      </c>
      <c r="O10" s="39" t="n">
        <f aca="true">IF($A10="","",IF(OR($I10="Completed",$I10="Cancelled"),0,$L10-TODAY()))</f>
        <v>0</v>
      </c>
      <c r="P10" s="3" t="s">
        <v>122</v>
      </c>
      <c r="Q10" s="3" t="s">
        <v>90</v>
      </c>
      <c r="S10" s="3" t="n">
        <f aca="false">IF($A10="","",IF(AND($O10&lt;0,$I10&lt;&gt;"Completed",$I10&lt;&gt;"Cancelled"),1,0))</f>
        <v>0</v>
      </c>
      <c r="T10" s="3" t="n">
        <f aca="false">IF($A10="","",IF($I10="Completed",ROW(),""))</f>
        <v>10</v>
      </c>
      <c r="U10" s="0" t="str">
        <f aca="false">IF($A10="","",IF(OR($I10="Not Started",$I10="Planning",$I10="Blocked"),ROW(),""))</f>
        <v/>
      </c>
    </row>
    <row r="11" customFormat="false" ht="15" hidden="false" customHeight="false" outlineLevel="0" collapsed="false">
      <c r="A11" s="0" t="s">
        <v>130</v>
      </c>
      <c r="B11" s="3" t="s">
        <v>131</v>
      </c>
      <c r="C11" s="0" t="s">
        <v>132</v>
      </c>
      <c r="D11" s="0" t="s">
        <v>133</v>
      </c>
      <c r="E11" s="0" t="s">
        <v>134</v>
      </c>
      <c r="F11" s="3" t="s">
        <v>90</v>
      </c>
      <c r="G11" s="3" t="s">
        <v>135</v>
      </c>
      <c r="H11" s="3" t="s">
        <v>121</v>
      </c>
      <c r="I11" s="3" t="s">
        <v>93</v>
      </c>
      <c r="J11" s="37" t="n">
        <f aca="false">IF($A11="","",IFERROR(INDEX(Lists!$B$2:$B$10,MATCH($I11,Lists!$A$2:$A$10,0)),""))</f>
        <v>1</v>
      </c>
      <c r="K11" s="38" t="n">
        <v>46073</v>
      </c>
      <c r="L11" s="38" t="n">
        <v>46087</v>
      </c>
      <c r="M11" s="38" t="n">
        <v>46085</v>
      </c>
      <c r="N11" s="3" t="n">
        <f aca="false">IF($A11="","",$L11-$K11+1)</f>
        <v>15</v>
      </c>
      <c r="O11" s="39" t="n">
        <f aca="true">IF($A11="","",IF(OR($I11="Completed",$I11="Cancelled"),0,$L11-TODAY()))</f>
        <v>0</v>
      </c>
      <c r="P11" s="3" t="s">
        <v>102</v>
      </c>
      <c r="Q11" s="3" t="s">
        <v>90</v>
      </c>
      <c r="S11" s="3" t="n">
        <f aca="false">IF($A11="","",IF(AND($O11&lt;0,$I11&lt;&gt;"Completed",$I11&lt;&gt;"Cancelled"),1,0))</f>
        <v>0</v>
      </c>
      <c r="T11" s="3" t="n">
        <f aca="false">IF($A11="","",IF($I11="Completed",ROW(),""))</f>
        <v>11</v>
      </c>
      <c r="U11" s="0" t="str">
        <f aca="false">IF($A11="","",IF(OR($I11="Not Started",$I11="Planning",$I11="Blocked"),ROW(),""))</f>
        <v/>
      </c>
    </row>
    <row r="12" customFormat="false" ht="15" hidden="false" customHeight="false" outlineLevel="0" collapsed="false">
      <c r="A12" s="0" t="s">
        <v>136</v>
      </c>
      <c r="B12" s="3" t="s">
        <v>131</v>
      </c>
      <c r="C12" s="0" t="s">
        <v>132</v>
      </c>
      <c r="D12" s="0" t="s">
        <v>137</v>
      </c>
      <c r="E12" s="0" t="s">
        <v>138</v>
      </c>
      <c r="F12" s="3" t="s">
        <v>97</v>
      </c>
      <c r="G12" s="3" t="s">
        <v>135</v>
      </c>
      <c r="H12" s="3" t="s">
        <v>121</v>
      </c>
      <c r="I12" s="3" t="s">
        <v>93</v>
      </c>
      <c r="J12" s="37" t="n">
        <f aca="false">IF($A12="","",IFERROR(INDEX(Lists!$B$2:$B$10,MATCH($I12,Lists!$A$2:$A$10,0)),""))</f>
        <v>1</v>
      </c>
      <c r="K12" s="38" t="n">
        <v>46088</v>
      </c>
      <c r="L12" s="38" t="n">
        <v>46102</v>
      </c>
      <c r="M12" s="38" t="n">
        <v>46105</v>
      </c>
      <c r="N12" s="3" t="n">
        <f aca="false">IF($A12="","",$L12-$K12+1)</f>
        <v>15</v>
      </c>
      <c r="O12" s="39" t="n">
        <f aca="true">IF($A12="","",IF(OR($I12="Completed",$I12="Cancelled"),0,$L12-TODAY()))</f>
        <v>0</v>
      </c>
      <c r="P12" s="3" t="s">
        <v>130</v>
      </c>
      <c r="Q12" s="3" t="s">
        <v>90</v>
      </c>
      <c r="S12" s="3" t="n">
        <f aca="false">IF($A12="","",IF(AND($O12&lt;0,$I12&lt;&gt;"Completed",$I12&lt;&gt;"Cancelled"),1,0))</f>
        <v>0</v>
      </c>
      <c r="T12" s="3" t="n">
        <f aca="false">IF($A12="","",IF($I12="Completed",ROW(),""))</f>
        <v>12</v>
      </c>
      <c r="U12" s="0" t="str">
        <f aca="false">IF($A12="","",IF(OR($I12="Not Started",$I12="Planning",$I12="Blocked"),ROW(),""))</f>
        <v/>
      </c>
    </row>
    <row r="13" customFormat="false" ht="15" hidden="false" customHeight="false" outlineLevel="0" collapsed="false">
      <c r="A13" s="0" t="s">
        <v>139</v>
      </c>
      <c r="B13" s="3" t="s">
        <v>131</v>
      </c>
      <c r="C13" s="0" t="s">
        <v>140</v>
      </c>
      <c r="D13" s="0" t="s">
        <v>141</v>
      </c>
      <c r="E13" s="0" t="s">
        <v>142</v>
      </c>
      <c r="F13" s="3" t="s">
        <v>97</v>
      </c>
      <c r="G13" s="3" t="s">
        <v>135</v>
      </c>
      <c r="H13" s="3" t="s">
        <v>121</v>
      </c>
      <c r="I13" s="3" t="s">
        <v>93</v>
      </c>
      <c r="J13" s="37" t="n">
        <f aca="false">IF($A13="","",IFERROR(INDEX(Lists!$B$2:$B$10,MATCH($I13,Lists!$A$2:$A$10,0)),""))</f>
        <v>1</v>
      </c>
      <c r="K13" s="38" t="n">
        <v>46103</v>
      </c>
      <c r="L13" s="38" t="n">
        <v>46117</v>
      </c>
      <c r="M13" s="38" t="n">
        <v>46115</v>
      </c>
      <c r="N13" s="3" t="n">
        <f aca="false">IF($A13="","",$L13-$K13+1)</f>
        <v>15</v>
      </c>
      <c r="O13" s="39" t="n">
        <f aca="true">IF($A13="","",IF(OR($I13="Completed",$I13="Cancelled"),0,$L13-TODAY()))</f>
        <v>0</v>
      </c>
      <c r="P13" s="3" t="s">
        <v>136</v>
      </c>
      <c r="Q13" s="3" t="s">
        <v>90</v>
      </c>
      <c r="S13" s="3" t="n">
        <f aca="false">IF($A13="","",IF(AND($O13&lt;0,$I13&lt;&gt;"Completed",$I13&lt;&gt;"Cancelled"),1,0))</f>
        <v>0</v>
      </c>
      <c r="T13" s="3" t="n">
        <f aca="false">IF($A13="","",IF($I13="Completed",ROW(),""))</f>
        <v>13</v>
      </c>
      <c r="U13" s="0" t="str">
        <f aca="false">IF($A13="","",IF(OR($I13="Not Started",$I13="Planning",$I13="Blocked"),ROW(),""))</f>
        <v/>
      </c>
    </row>
    <row r="14" customFormat="false" ht="15" hidden="false" customHeight="false" outlineLevel="0" collapsed="false">
      <c r="A14" s="0" t="s">
        <v>143</v>
      </c>
      <c r="B14" s="3" t="s">
        <v>144</v>
      </c>
      <c r="C14" s="0" t="s">
        <v>145</v>
      </c>
      <c r="D14" s="0" t="s">
        <v>146</v>
      </c>
      <c r="E14" s="0" t="s">
        <v>147</v>
      </c>
      <c r="F14" s="3" t="s">
        <v>97</v>
      </c>
      <c r="G14" s="3" t="s">
        <v>148</v>
      </c>
      <c r="H14" s="3" t="s">
        <v>149</v>
      </c>
      <c r="I14" s="3" t="s">
        <v>150</v>
      </c>
      <c r="J14" s="37" t="n">
        <f aca="false">IF($A14="","",IFERROR(INDEX(Lists!$B$2:$B$10,MATCH($I14,Lists!$A$2:$A$10,0)),""))</f>
        <v>0.75</v>
      </c>
      <c r="K14" s="38" t="n">
        <v>46118</v>
      </c>
      <c r="L14" s="38" t="n">
        <v>46168</v>
      </c>
      <c r="M14" s="38"/>
      <c r="N14" s="3" t="n">
        <f aca="false">IF($A14="","",$L14-$K14+1)</f>
        <v>51</v>
      </c>
      <c r="O14" s="39" t="n">
        <f aca="true">IF($A14="","",IF(OR($I14="Completed",$I14="Cancelled"),0,$L14-TODAY()))</f>
        <v>-61</v>
      </c>
      <c r="P14" s="3" t="s">
        <v>115</v>
      </c>
      <c r="Q14" s="3" t="s">
        <v>97</v>
      </c>
      <c r="S14" s="3" t="n">
        <f aca="false">IF($A14="","",IF(AND($O14&lt;0,$I14&lt;&gt;"Completed",$I14&lt;&gt;"Cancelled"),1,0))</f>
        <v>1</v>
      </c>
      <c r="T14" s="0" t="str">
        <f aca="false">IF($A14="","",IF($I14="Completed",ROW(),""))</f>
        <v/>
      </c>
      <c r="U14" s="0" t="str">
        <f aca="false">IF($A14="","",IF(OR($I14="Not Started",$I14="Planning",$I14="Blocked"),ROW(),""))</f>
        <v/>
      </c>
    </row>
    <row r="15" customFormat="false" ht="15" hidden="false" customHeight="false" outlineLevel="0" collapsed="false">
      <c r="A15" s="0" t="s">
        <v>151</v>
      </c>
      <c r="B15" s="3" t="s">
        <v>144</v>
      </c>
      <c r="C15" s="0" t="s">
        <v>145</v>
      </c>
      <c r="D15" s="0" t="s">
        <v>152</v>
      </c>
      <c r="E15" s="0" t="s">
        <v>153</v>
      </c>
      <c r="F15" s="3" t="s">
        <v>97</v>
      </c>
      <c r="G15" s="3" t="s">
        <v>148</v>
      </c>
      <c r="H15" s="3" t="s">
        <v>149</v>
      </c>
      <c r="I15" s="3" t="s">
        <v>150</v>
      </c>
      <c r="J15" s="37" t="n">
        <f aca="false">IF($A15="","",IFERROR(INDEX(Lists!$B$2:$B$10,MATCH($I15,Lists!$A$2:$A$10,0)),""))</f>
        <v>0.75</v>
      </c>
      <c r="K15" s="38" t="n">
        <v>46169</v>
      </c>
      <c r="L15" s="38" t="n">
        <v>46218</v>
      </c>
      <c r="M15" s="38"/>
      <c r="N15" s="3" t="n">
        <f aca="false">IF($A15="","",$L15-$K15+1)</f>
        <v>50</v>
      </c>
      <c r="O15" s="39" t="n">
        <f aca="true">IF($A15="","",IF(OR($I15="Completed",$I15="Cancelled"),0,$L15-TODAY()))</f>
        <v>-11</v>
      </c>
      <c r="P15" s="3" t="s">
        <v>143</v>
      </c>
      <c r="Q15" s="3" t="s">
        <v>97</v>
      </c>
      <c r="S15" s="3" t="n">
        <f aca="false">IF($A15="","",IF(AND($O15&lt;0,$I15&lt;&gt;"Completed",$I15&lt;&gt;"Cancelled"),1,0))</f>
        <v>1</v>
      </c>
      <c r="T15" s="0" t="str">
        <f aca="false">IF($A15="","",IF($I15="Completed",ROW(),""))</f>
        <v/>
      </c>
      <c r="U15" s="0" t="str">
        <f aca="false">IF($A15="","",IF(OR($I15="Not Started",$I15="Planning",$I15="Blocked"),ROW(),""))</f>
        <v/>
      </c>
    </row>
    <row r="16" customFormat="false" ht="15" hidden="false" customHeight="false" outlineLevel="0" collapsed="false">
      <c r="A16" s="0" t="s">
        <v>154</v>
      </c>
      <c r="B16" s="3" t="s">
        <v>144</v>
      </c>
      <c r="C16" s="0" t="s">
        <v>145</v>
      </c>
      <c r="D16" s="0" t="s">
        <v>155</v>
      </c>
      <c r="E16" s="0" t="s">
        <v>156</v>
      </c>
      <c r="F16" s="3" t="s">
        <v>97</v>
      </c>
      <c r="G16" s="3" t="s">
        <v>148</v>
      </c>
      <c r="H16" s="3" t="s">
        <v>149</v>
      </c>
      <c r="I16" s="3" t="s">
        <v>157</v>
      </c>
      <c r="J16" s="37" t="n">
        <f aca="false">IF($A16="","",IFERROR(INDEX(Lists!$B$2:$B$10,MATCH($I16,Lists!$A$2:$A$10,0)),""))</f>
        <v>0.55</v>
      </c>
      <c r="K16" s="38" t="n">
        <v>46219</v>
      </c>
      <c r="L16" s="38" t="n">
        <v>46269</v>
      </c>
      <c r="M16" s="38"/>
      <c r="N16" s="3" t="n">
        <f aca="false">IF($A16="","",$L16-$K16+1)</f>
        <v>51</v>
      </c>
      <c r="O16" s="39" t="n">
        <f aca="true">IF($A16="","",IF(OR($I16="Completed",$I16="Cancelled"),0,$L16-TODAY()))</f>
        <v>40</v>
      </c>
      <c r="P16" s="3" t="s">
        <v>151</v>
      </c>
      <c r="Q16" s="3" t="s">
        <v>97</v>
      </c>
      <c r="S16" s="3" t="n">
        <f aca="false">IF($A16="","",IF(AND($O16&lt;0,$I16&lt;&gt;"Completed",$I16&lt;&gt;"Cancelled"),1,0))</f>
        <v>0</v>
      </c>
      <c r="T16" s="0" t="str">
        <f aca="false">IF($A16="","",IF($I16="Completed",ROW(),""))</f>
        <v/>
      </c>
      <c r="U16" s="0" t="str">
        <f aca="false">IF($A16="","",IF(OR($I16="Not Started",$I16="Planning",$I16="Blocked"),ROW(),""))</f>
        <v/>
      </c>
    </row>
    <row r="17" customFormat="false" ht="15" hidden="false" customHeight="false" outlineLevel="0" collapsed="false">
      <c r="A17" s="0" t="s">
        <v>158</v>
      </c>
      <c r="B17" s="3" t="s">
        <v>159</v>
      </c>
      <c r="C17" s="0" t="s">
        <v>160</v>
      </c>
      <c r="D17" s="0" t="s">
        <v>161</v>
      </c>
      <c r="E17" s="0" t="s">
        <v>162</v>
      </c>
      <c r="F17" s="3" t="s">
        <v>97</v>
      </c>
      <c r="G17" s="3" t="s">
        <v>163</v>
      </c>
      <c r="H17" s="3" t="s">
        <v>149</v>
      </c>
      <c r="I17" s="3" t="s">
        <v>150</v>
      </c>
      <c r="J17" s="37" t="n">
        <f aca="false">IF($A17="","",IFERROR(INDEX(Lists!$B$2:$B$10,MATCH($I17,Lists!$A$2:$A$10,0)),""))</f>
        <v>0.75</v>
      </c>
      <c r="K17" s="38" t="n">
        <v>46133</v>
      </c>
      <c r="L17" s="38" t="n">
        <v>46178</v>
      </c>
      <c r="M17" s="38"/>
      <c r="N17" s="3" t="n">
        <f aca="false">IF($A17="","",$L17-$K17+1)</f>
        <v>46</v>
      </c>
      <c r="O17" s="39" t="n">
        <f aca="true">IF($A17="","",IF(OR($I17="Completed",$I17="Cancelled"),0,$L17-TODAY()))</f>
        <v>-51</v>
      </c>
      <c r="P17" s="3" t="s">
        <v>115</v>
      </c>
      <c r="Q17" s="3" t="s">
        <v>97</v>
      </c>
      <c r="S17" s="3" t="n">
        <f aca="false">IF($A17="","",IF(AND($O17&lt;0,$I17&lt;&gt;"Completed",$I17&lt;&gt;"Cancelled"),1,0))</f>
        <v>1</v>
      </c>
      <c r="T17" s="0" t="str">
        <f aca="false">IF($A17="","",IF($I17="Completed",ROW(),""))</f>
        <v/>
      </c>
      <c r="U17" s="0" t="str">
        <f aca="false">IF($A17="","",IF(OR($I17="Not Started",$I17="Planning",$I17="Blocked"),ROW(),""))</f>
        <v/>
      </c>
    </row>
    <row r="18" customFormat="false" ht="15" hidden="false" customHeight="false" outlineLevel="0" collapsed="false">
      <c r="A18" s="0" t="s">
        <v>164</v>
      </c>
      <c r="B18" s="3" t="s">
        <v>159</v>
      </c>
      <c r="C18" s="0" t="s">
        <v>160</v>
      </c>
      <c r="D18" s="0" t="s">
        <v>165</v>
      </c>
      <c r="E18" s="0" t="s">
        <v>166</v>
      </c>
      <c r="F18" s="3" t="s">
        <v>97</v>
      </c>
      <c r="G18" s="3" t="s">
        <v>163</v>
      </c>
      <c r="H18" s="3" t="s">
        <v>149</v>
      </c>
      <c r="I18" s="3" t="s">
        <v>150</v>
      </c>
      <c r="J18" s="37" t="n">
        <f aca="false">IF($A18="","",IFERROR(INDEX(Lists!$B$2:$B$10,MATCH($I18,Lists!$A$2:$A$10,0)),""))</f>
        <v>0.75</v>
      </c>
      <c r="K18" s="38" t="n">
        <v>46179</v>
      </c>
      <c r="L18" s="38" t="n">
        <v>46223</v>
      </c>
      <c r="M18" s="38"/>
      <c r="N18" s="3" t="n">
        <f aca="false">IF($A18="","",$L18-$K18+1)</f>
        <v>45</v>
      </c>
      <c r="O18" s="39" t="n">
        <f aca="true">IF($A18="","",IF(OR($I18="Completed",$I18="Cancelled"),0,$L18-TODAY()))</f>
        <v>-6</v>
      </c>
      <c r="P18" s="3" t="s">
        <v>158</v>
      </c>
      <c r="Q18" s="3" t="s">
        <v>97</v>
      </c>
      <c r="S18" s="3" t="n">
        <f aca="false">IF($A18="","",IF(AND($O18&lt;0,$I18&lt;&gt;"Completed",$I18&lt;&gt;"Cancelled"),1,0))</f>
        <v>1</v>
      </c>
      <c r="T18" s="0" t="str">
        <f aca="false">IF($A18="","",IF($I18="Completed",ROW(),""))</f>
        <v/>
      </c>
      <c r="U18" s="0" t="str">
        <f aca="false">IF($A18="","",IF(OR($I18="Not Started",$I18="Planning",$I18="Blocked"),ROW(),""))</f>
        <v/>
      </c>
    </row>
    <row r="19" customFormat="false" ht="15" hidden="false" customHeight="false" outlineLevel="0" collapsed="false">
      <c r="A19" s="0" t="s">
        <v>167</v>
      </c>
      <c r="B19" s="3" t="s">
        <v>159</v>
      </c>
      <c r="C19" s="0" t="s">
        <v>160</v>
      </c>
      <c r="D19" s="0" t="s">
        <v>168</v>
      </c>
      <c r="E19" s="0" t="s">
        <v>169</v>
      </c>
      <c r="F19" s="3" t="s">
        <v>97</v>
      </c>
      <c r="G19" s="3" t="s">
        <v>163</v>
      </c>
      <c r="H19" s="3" t="s">
        <v>149</v>
      </c>
      <c r="I19" s="3" t="s">
        <v>157</v>
      </c>
      <c r="J19" s="37" t="n">
        <f aca="false">IF($A19="","",IFERROR(INDEX(Lists!$B$2:$B$10,MATCH($I19,Lists!$A$2:$A$10,0)),""))</f>
        <v>0.55</v>
      </c>
      <c r="K19" s="38" t="n">
        <v>46224</v>
      </c>
      <c r="L19" s="38" t="n">
        <v>46269</v>
      </c>
      <c r="M19" s="38"/>
      <c r="N19" s="3" t="n">
        <f aca="false">IF($A19="","",$L19-$K19+1)</f>
        <v>46</v>
      </c>
      <c r="O19" s="39" t="n">
        <f aca="true">IF($A19="","",IF(OR($I19="Completed",$I19="Cancelled"),0,$L19-TODAY()))</f>
        <v>40</v>
      </c>
      <c r="P19" s="3" t="s">
        <v>164</v>
      </c>
      <c r="Q19" s="3" t="s">
        <v>97</v>
      </c>
      <c r="S19" s="3" t="n">
        <f aca="false">IF($A19="","",IF(AND($O19&lt;0,$I19&lt;&gt;"Completed",$I19&lt;&gt;"Cancelled"),1,0))</f>
        <v>0</v>
      </c>
      <c r="T19" s="0" t="str">
        <f aca="false">IF($A19="","",IF($I19="Completed",ROW(),""))</f>
        <v/>
      </c>
      <c r="U19" s="0" t="str">
        <f aca="false">IF($A19="","",IF(OR($I19="Not Started",$I19="Planning",$I19="Blocked"),ROW(),""))</f>
        <v/>
      </c>
    </row>
    <row r="20" customFormat="false" ht="15" hidden="false" customHeight="false" outlineLevel="0" collapsed="false">
      <c r="A20" s="0" t="s">
        <v>170</v>
      </c>
      <c r="B20" s="3" t="s">
        <v>171</v>
      </c>
      <c r="C20" s="0" t="s">
        <v>172</v>
      </c>
      <c r="D20" s="0" t="s">
        <v>173</v>
      </c>
      <c r="E20" s="0" t="s">
        <v>174</v>
      </c>
      <c r="F20" s="3" t="s">
        <v>175</v>
      </c>
      <c r="G20" s="3" t="s">
        <v>176</v>
      </c>
      <c r="H20" s="3" t="s">
        <v>149</v>
      </c>
      <c r="I20" s="3" t="s">
        <v>93</v>
      </c>
      <c r="J20" s="37" t="n">
        <f aca="false">IF($A20="","",IFERROR(INDEX(Lists!$B$2:$B$10,MATCH($I20,Lists!$A$2:$A$10,0)),""))</f>
        <v>1</v>
      </c>
      <c r="K20" s="38" t="n">
        <v>46118</v>
      </c>
      <c r="L20" s="38" t="n">
        <v>46137</v>
      </c>
      <c r="M20" s="38" t="n">
        <v>46135</v>
      </c>
      <c r="N20" s="3" t="n">
        <f aca="false">IF($A20="","",$L20-$K20+1)</f>
        <v>20</v>
      </c>
      <c r="O20" s="39" t="n">
        <f aca="true">IF($A20="","",IF(OR($I20="Completed",$I20="Cancelled"),0,$L20-TODAY()))</f>
        <v>0</v>
      </c>
      <c r="P20" s="3" t="s">
        <v>158</v>
      </c>
      <c r="Q20" s="3" t="s">
        <v>90</v>
      </c>
      <c r="S20" s="3" t="n">
        <f aca="false">IF($A20="","",IF(AND($O20&lt;0,$I20&lt;&gt;"Completed",$I20&lt;&gt;"Cancelled"),1,0))</f>
        <v>0</v>
      </c>
      <c r="T20" s="3" t="n">
        <f aca="false">IF($A20="","",IF($I20="Completed",ROW(),""))</f>
        <v>20</v>
      </c>
      <c r="U20" s="0" t="str">
        <f aca="false">IF($A20="","",IF(OR($I20="Not Started",$I20="Planning",$I20="Blocked"),ROW(),""))</f>
        <v/>
      </c>
    </row>
    <row r="21" customFormat="false" ht="15" hidden="false" customHeight="false" outlineLevel="0" collapsed="false">
      <c r="A21" s="0" t="s">
        <v>177</v>
      </c>
      <c r="B21" s="3" t="s">
        <v>171</v>
      </c>
      <c r="C21" s="0" t="s">
        <v>172</v>
      </c>
      <c r="D21" s="0" t="s">
        <v>178</v>
      </c>
      <c r="E21" s="0" t="s">
        <v>179</v>
      </c>
      <c r="F21" s="3" t="s">
        <v>175</v>
      </c>
      <c r="G21" s="3" t="s">
        <v>176</v>
      </c>
      <c r="H21" s="3" t="s">
        <v>149</v>
      </c>
      <c r="I21" s="3" t="s">
        <v>93</v>
      </c>
      <c r="J21" s="37" t="n">
        <f aca="false">IF($A21="","",IFERROR(INDEX(Lists!$B$2:$B$10,MATCH($I21,Lists!$A$2:$A$10,0)),""))</f>
        <v>1</v>
      </c>
      <c r="K21" s="38" t="n">
        <v>46138</v>
      </c>
      <c r="L21" s="38" t="n">
        <v>46158</v>
      </c>
      <c r="M21" s="38" t="n">
        <v>46161</v>
      </c>
      <c r="N21" s="3" t="n">
        <f aca="false">IF($A21="","",$L21-$K21+1)</f>
        <v>21</v>
      </c>
      <c r="O21" s="39" t="n">
        <f aca="true">IF($A21="","",IF(OR($I21="Completed",$I21="Cancelled"),0,$L21-TODAY()))</f>
        <v>0</v>
      </c>
      <c r="P21" s="3" t="s">
        <v>170</v>
      </c>
      <c r="Q21" s="3" t="s">
        <v>90</v>
      </c>
      <c r="S21" s="3" t="n">
        <f aca="false">IF($A21="","",IF(AND($O21&lt;0,$I21&lt;&gt;"Completed",$I21&lt;&gt;"Cancelled"),1,0))</f>
        <v>0</v>
      </c>
      <c r="T21" s="3" t="n">
        <f aca="false">IF($A21="","",IF($I21="Completed",ROW(),""))</f>
        <v>21</v>
      </c>
      <c r="U21" s="0" t="str">
        <f aca="false">IF($A21="","",IF(OR($I21="Not Started",$I21="Planning",$I21="Blocked"),ROW(),""))</f>
        <v/>
      </c>
    </row>
    <row r="22" customFormat="false" ht="15" hidden="false" customHeight="false" outlineLevel="0" collapsed="false">
      <c r="A22" s="0" t="s">
        <v>180</v>
      </c>
      <c r="B22" s="3" t="s">
        <v>171</v>
      </c>
      <c r="C22" s="0" t="s">
        <v>172</v>
      </c>
      <c r="D22" s="0" t="s">
        <v>181</v>
      </c>
      <c r="E22" s="0" t="s">
        <v>182</v>
      </c>
      <c r="F22" s="3" t="s">
        <v>175</v>
      </c>
      <c r="G22" s="3" t="s">
        <v>176</v>
      </c>
      <c r="H22" s="3" t="s">
        <v>149</v>
      </c>
      <c r="I22" s="3" t="s">
        <v>93</v>
      </c>
      <c r="J22" s="37" t="n">
        <f aca="false">IF($A22="","",IFERROR(INDEX(Lists!$B$2:$B$10,MATCH($I22,Lists!$A$2:$A$10,0)),""))</f>
        <v>1</v>
      </c>
      <c r="K22" s="38" t="n">
        <v>46159</v>
      </c>
      <c r="L22" s="38" t="n">
        <v>46178</v>
      </c>
      <c r="M22" s="38" t="n">
        <v>46176</v>
      </c>
      <c r="N22" s="3" t="n">
        <f aca="false">IF($A22="","",$L22-$K22+1)</f>
        <v>20</v>
      </c>
      <c r="O22" s="39" t="n">
        <f aca="true">IF($A22="","",IF(OR($I22="Completed",$I22="Cancelled"),0,$L22-TODAY()))</f>
        <v>0</v>
      </c>
      <c r="P22" s="3" t="s">
        <v>177</v>
      </c>
      <c r="Q22" s="3" t="s">
        <v>90</v>
      </c>
      <c r="S22" s="3" t="n">
        <f aca="false">IF($A22="","",IF(AND($O22&lt;0,$I22&lt;&gt;"Completed",$I22&lt;&gt;"Cancelled"),1,0))</f>
        <v>0</v>
      </c>
      <c r="T22" s="3" t="n">
        <f aca="false">IF($A22="","",IF($I22="Completed",ROW(),""))</f>
        <v>22</v>
      </c>
      <c r="U22" s="0" t="str">
        <f aca="false">IF($A22="","",IF(OR($I22="Not Started",$I22="Planning",$I22="Blocked"),ROW(),""))</f>
        <v/>
      </c>
    </row>
    <row r="23" customFormat="false" ht="15" hidden="false" customHeight="false" outlineLevel="0" collapsed="false">
      <c r="A23" s="0" t="s">
        <v>183</v>
      </c>
      <c r="B23" s="3" t="s">
        <v>184</v>
      </c>
      <c r="C23" s="0" t="s">
        <v>185</v>
      </c>
      <c r="D23" s="0" t="s">
        <v>186</v>
      </c>
      <c r="E23" s="0" t="s">
        <v>187</v>
      </c>
      <c r="F23" s="3" t="s">
        <v>97</v>
      </c>
      <c r="G23" s="3" t="s">
        <v>188</v>
      </c>
      <c r="H23" s="3" t="s">
        <v>149</v>
      </c>
      <c r="I23" s="3" t="s">
        <v>93</v>
      </c>
      <c r="J23" s="37" t="n">
        <f aca="false">IF($A23="","",IFERROR(INDEX(Lists!$B$2:$B$10,MATCH($I23,Lists!$A$2:$A$10,0)),""))</f>
        <v>1</v>
      </c>
      <c r="K23" s="38" t="n">
        <v>46149</v>
      </c>
      <c r="L23" s="38" t="n">
        <v>46173</v>
      </c>
      <c r="M23" s="38" t="n">
        <v>46171</v>
      </c>
      <c r="N23" s="3" t="n">
        <f aca="false">IF($A23="","",$L23-$K23+1)</f>
        <v>25</v>
      </c>
      <c r="O23" s="39" t="n">
        <f aca="true">IF($A23="","",IF(OR($I23="Completed",$I23="Cancelled"),0,$L23-TODAY()))</f>
        <v>0</v>
      </c>
      <c r="P23" s="3" t="s">
        <v>170</v>
      </c>
      <c r="Q23" s="3" t="s">
        <v>90</v>
      </c>
      <c r="S23" s="3" t="n">
        <f aca="false">IF($A23="","",IF(AND($O23&lt;0,$I23&lt;&gt;"Completed",$I23&lt;&gt;"Cancelled"),1,0))</f>
        <v>0</v>
      </c>
      <c r="T23" s="3" t="n">
        <f aca="false">IF($A23="","",IF($I23="Completed",ROW(),""))</f>
        <v>23</v>
      </c>
      <c r="U23" s="0" t="str">
        <f aca="false">IF($A23="","",IF(OR($I23="Not Started",$I23="Planning",$I23="Blocked"),ROW(),""))</f>
        <v/>
      </c>
    </row>
    <row r="24" customFormat="false" ht="15" hidden="false" customHeight="false" outlineLevel="0" collapsed="false">
      <c r="A24" s="0" t="s">
        <v>189</v>
      </c>
      <c r="B24" s="3" t="s">
        <v>184</v>
      </c>
      <c r="C24" s="0" t="s">
        <v>185</v>
      </c>
      <c r="D24" s="0" t="s">
        <v>190</v>
      </c>
      <c r="E24" s="0" t="s">
        <v>191</v>
      </c>
      <c r="F24" s="3" t="s">
        <v>97</v>
      </c>
      <c r="G24" s="3" t="s">
        <v>188</v>
      </c>
      <c r="H24" s="3" t="s">
        <v>149</v>
      </c>
      <c r="I24" s="3" t="s">
        <v>192</v>
      </c>
      <c r="J24" s="37" t="n">
        <f aca="false">IF($A24="","",IFERROR(INDEX(Lists!$B$2:$B$10,MATCH($I24,Lists!$A$2:$A$10,0)),""))</f>
        <v>0.9</v>
      </c>
      <c r="K24" s="38" t="n">
        <v>46174</v>
      </c>
      <c r="L24" s="38" t="n">
        <v>46199</v>
      </c>
      <c r="M24" s="38"/>
      <c r="N24" s="3" t="n">
        <f aca="false">IF($A24="","",$L24-$K24+1)</f>
        <v>26</v>
      </c>
      <c r="O24" s="39" t="n">
        <f aca="true">IF($A24="","",IF(OR($I24="Completed",$I24="Cancelled"),0,$L24-TODAY()))</f>
        <v>-30</v>
      </c>
      <c r="P24" s="3" t="s">
        <v>183</v>
      </c>
      <c r="Q24" s="3" t="s">
        <v>97</v>
      </c>
      <c r="S24" s="3" t="n">
        <f aca="false">IF($A24="","",IF(AND($O24&lt;0,$I24&lt;&gt;"Completed",$I24&lt;&gt;"Cancelled"),1,0))</f>
        <v>1</v>
      </c>
      <c r="T24" s="0" t="str">
        <f aca="false">IF($A24="","",IF($I24="Completed",ROW(),""))</f>
        <v/>
      </c>
      <c r="U24" s="0" t="str">
        <f aca="false">IF($A24="","",IF(OR($I24="Not Started",$I24="Planning",$I24="Blocked"),ROW(),""))</f>
        <v/>
      </c>
    </row>
    <row r="25" customFormat="false" ht="15" hidden="false" customHeight="false" outlineLevel="0" collapsed="false">
      <c r="A25" s="0" t="s">
        <v>193</v>
      </c>
      <c r="B25" s="3" t="s">
        <v>184</v>
      </c>
      <c r="C25" s="0" t="s">
        <v>185</v>
      </c>
      <c r="D25" s="0" t="s">
        <v>194</v>
      </c>
      <c r="E25" s="0" t="s">
        <v>195</v>
      </c>
      <c r="F25" s="3" t="s">
        <v>97</v>
      </c>
      <c r="G25" s="3" t="s">
        <v>188</v>
      </c>
      <c r="H25" s="3" t="s">
        <v>149</v>
      </c>
      <c r="I25" s="3" t="s">
        <v>150</v>
      </c>
      <c r="J25" s="37" t="n">
        <f aca="false">IF($A25="","",IFERROR(INDEX(Lists!$B$2:$B$10,MATCH($I25,Lists!$A$2:$A$10,0)),""))</f>
        <v>0.75</v>
      </c>
      <c r="K25" s="38" t="n">
        <v>46200</v>
      </c>
      <c r="L25" s="38" t="n">
        <v>46224</v>
      </c>
      <c r="M25" s="38"/>
      <c r="N25" s="3" t="n">
        <f aca="false">IF($A25="","",$L25-$K25+1)</f>
        <v>25</v>
      </c>
      <c r="O25" s="39" t="n">
        <f aca="true">IF($A25="","",IF(OR($I25="Completed",$I25="Cancelled"),0,$L25-TODAY()))</f>
        <v>-5</v>
      </c>
      <c r="P25" s="3" t="s">
        <v>189</v>
      </c>
      <c r="Q25" s="3" t="s">
        <v>97</v>
      </c>
      <c r="S25" s="3" t="n">
        <f aca="false">IF($A25="","",IF(AND($O25&lt;0,$I25&lt;&gt;"Completed",$I25&lt;&gt;"Cancelled"),1,0))</f>
        <v>1</v>
      </c>
      <c r="T25" s="0" t="str">
        <f aca="false">IF($A25="","",IF($I25="Completed",ROW(),""))</f>
        <v/>
      </c>
      <c r="U25" s="0" t="str">
        <f aca="false">IF($A25="","",IF(OR($I25="Not Started",$I25="Planning",$I25="Blocked"),ROW(),""))</f>
        <v/>
      </c>
    </row>
    <row r="26" customFormat="false" ht="15" hidden="false" customHeight="false" outlineLevel="0" collapsed="false">
      <c r="A26" s="0" t="s">
        <v>196</v>
      </c>
      <c r="B26" s="3" t="s">
        <v>197</v>
      </c>
      <c r="C26" s="0" t="s">
        <v>198</v>
      </c>
      <c r="D26" s="0" t="s">
        <v>199</v>
      </c>
      <c r="E26" s="0" t="s">
        <v>200</v>
      </c>
      <c r="F26" s="3" t="s">
        <v>201</v>
      </c>
      <c r="G26" s="3" t="s">
        <v>176</v>
      </c>
      <c r="H26" s="3" t="s">
        <v>149</v>
      </c>
      <c r="I26" s="3" t="s">
        <v>150</v>
      </c>
      <c r="J26" s="37" t="n">
        <f aca="false">IF($A26="","",IFERROR(INDEX(Lists!$B$2:$B$10,MATCH($I26,Lists!$A$2:$A$10,0)),""))</f>
        <v>0.75</v>
      </c>
      <c r="K26" s="38" t="n">
        <v>46164</v>
      </c>
      <c r="L26" s="38" t="n">
        <v>46193</v>
      </c>
      <c r="M26" s="38"/>
      <c r="N26" s="3" t="n">
        <f aca="false">IF($A26="","",$L26-$K26+1)</f>
        <v>30</v>
      </c>
      <c r="O26" s="39" t="n">
        <f aca="true">IF($A26="","",IF(OR($I26="Completed",$I26="Cancelled"),0,$L26-TODAY()))</f>
        <v>-36</v>
      </c>
      <c r="P26" s="3" t="s">
        <v>183</v>
      </c>
      <c r="Q26" s="3" t="s">
        <v>201</v>
      </c>
      <c r="S26" s="3" t="n">
        <f aca="false">IF($A26="","",IF(AND($O26&lt;0,$I26&lt;&gt;"Completed",$I26&lt;&gt;"Cancelled"),1,0))</f>
        <v>1</v>
      </c>
      <c r="T26" s="0" t="str">
        <f aca="false">IF($A26="","",IF($I26="Completed",ROW(),""))</f>
        <v/>
      </c>
      <c r="U26" s="0" t="str">
        <f aca="false">IF($A26="","",IF(OR($I26="Not Started",$I26="Planning",$I26="Blocked"),ROW(),""))</f>
        <v/>
      </c>
    </row>
    <row r="27" customFormat="false" ht="15" hidden="false" customHeight="false" outlineLevel="0" collapsed="false">
      <c r="A27" s="0" t="s">
        <v>202</v>
      </c>
      <c r="B27" s="3" t="s">
        <v>197</v>
      </c>
      <c r="C27" s="0" t="s">
        <v>198</v>
      </c>
      <c r="D27" s="0" t="s">
        <v>203</v>
      </c>
      <c r="E27" s="0" t="s">
        <v>204</v>
      </c>
      <c r="F27" s="3" t="s">
        <v>175</v>
      </c>
      <c r="G27" s="3" t="s">
        <v>176</v>
      </c>
      <c r="H27" s="3" t="s">
        <v>149</v>
      </c>
      <c r="I27" s="3" t="s">
        <v>150</v>
      </c>
      <c r="J27" s="37" t="n">
        <f aca="false">IF($A27="","",IFERROR(INDEX(Lists!$B$2:$B$10,MATCH($I27,Lists!$A$2:$A$10,0)),""))</f>
        <v>0.75</v>
      </c>
      <c r="K27" s="38" t="n">
        <v>46194</v>
      </c>
      <c r="L27" s="38" t="n">
        <v>46224</v>
      </c>
      <c r="M27" s="38"/>
      <c r="N27" s="3" t="n">
        <f aca="false">IF($A27="","",$L27-$K27+1)</f>
        <v>31</v>
      </c>
      <c r="O27" s="39" t="n">
        <f aca="true">IF($A27="","",IF(OR($I27="Completed",$I27="Cancelled"),0,$L27-TODAY()))</f>
        <v>-5</v>
      </c>
      <c r="P27" s="3" t="s">
        <v>196</v>
      </c>
      <c r="Q27" s="3" t="s">
        <v>201</v>
      </c>
      <c r="S27" s="3" t="n">
        <f aca="false">IF($A27="","",IF(AND($O27&lt;0,$I27&lt;&gt;"Completed",$I27&lt;&gt;"Cancelled"),1,0))</f>
        <v>1</v>
      </c>
      <c r="T27" s="0" t="str">
        <f aca="false">IF($A27="","",IF($I27="Completed",ROW(),""))</f>
        <v/>
      </c>
      <c r="U27" s="0" t="str">
        <f aca="false">IF($A27="","",IF(OR($I27="Not Started",$I27="Planning",$I27="Blocked"),ROW(),""))</f>
        <v/>
      </c>
    </row>
    <row r="28" customFormat="false" ht="15" hidden="false" customHeight="false" outlineLevel="0" collapsed="false">
      <c r="A28" s="0" t="s">
        <v>205</v>
      </c>
      <c r="B28" s="3" t="s">
        <v>197</v>
      </c>
      <c r="C28" s="0" t="s">
        <v>198</v>
      </c>
      <c r="D28" s="0" t="s">
        <v>206</v>
      </c>
      <c r="E28" s="0" t="s">
        <v>207</v>
      </c>
      <c r="F28" s="3" t="s">
        <v>175</v>
      </c>
      <c r="G28" s="3" t="s">
        <v>176</v>
      </c>
      <c r="H28" s="3" t="s">
        <v>149</v>
      </c>
      <c r="I28" s="3" t="s">
        <v>157</v>
      </c>
      <c r="J28" s="37" t="n">
        <f aca="false">IF($A28="","",IFERROR(INDEX(Lists!$B$2:$B$10,MATCH($I28,Lists!$A$2:$A$10,0)),""))</f>
        <v>0.55</v>
      </c>
      <c r="K28" s="38" t="n">
        <v>46225</v>
      </c>
      <c r="L28" s="38" t="n">
        <v>46254</v>
      </c>
      <c r="M28" s="38"/>
      <c r="N28" s="3" t="n">
        <f aca="false">IF($A28="","",$L28-$K28+1)</f>
        <v>30</v>
      </c>
      <c r="O28" s="39" t="n">
        <f aca="true">IF($A28="","",IF(OR($I28="Completed",$I28="Cancelled"),0,$L28-TODAY()))</f>
        <v>25</v>
      </c>
      <c r="P28" s="3" t="s">
        <v>202</v>
      </c>
      <c r="Q28" s="3" t="s">
        <v>201</v>
      </c>
      <c r="S28" s="3" t="n">
        <f aca="false">IF($A28="","",IF(AND($O28&lt;0,$I28&lt;&gt;"Completed",$I28&lt;&gt;"Cancelled"),1,0))</f>
        <v>0</v>
      </c>
      <c r="T28" s="0" t="str">
        <f aca="false">IF($A28="","",IF($I28="Completed",ROW(),""))</f>
        <v/>
      </c>
      <c r="U28" s="0" t="str">
        <f aca="false">IF($A28="","",IF(OR($I28="Not Started",$I28="Planning",$I28="Blocked"),ROW(),""))</f>
        <v/>
      </c>
    </row>
    <row r="29" customFormat="false" ht="15" hidden="false" customHeight="false" outlineLevel="0" collapsed="false">
      <c r="A29" s="0" t="s">
        <v>208</v>
      </c>
      <c r="B29" s="3" t="s">
        <v>209</v>
      </c>
      <c r="C29" s="0" t="s">
        <v>210</v>
      </c>
      <c r="D29" s="0" t="s">
        <v>211</v>
      </c>
      <c r="E29" s="0" t="s">
        <v>212</v>
      </c>
      <c r="F29" s="3" t="s">
        <v>201</v>
      </c>
      <c r="G29" s="3" t="s">
        <v>188</v>
      </c>
      <c r="H29" s="3" t="s">
        <v>149</v>
      </c>
      <c r="I29" s="3" t="s">
        <v>157</v>
      </c>
      <c r="J29" s="37" t="n">
        <f aca="false">IF($A29="","",IFERROR(INDEX(Lists!$B$2:$B$10,MATCH($I29,Lists!$A$2:$A$10,0)),""))</f>
        <v>0.55</v>
      </c>
      <c r="K29" s="38" t="n">
        <v>46194</v>
      </c>
      <c r="L29" s="38" t="n">
        <v>46223</v>
      </c>
      <c r="M29" s="38"/>
      <c r="N29" s="3" t="n">
        <f aca="false">IF($A29="","",$L29-$K29+1)</f>
        <v>30</v>
      </c>
      <c r="O29" s="39" t="n">
        <f aca="true">IF($A29="","",IF(OR($I29="Completed",$I29="Cancelled"),0,$L29-TODAY()))</f>
        <v>-6</v>
      </c>
      <c r="P29" s="3" t="s">
        <v>196</v>
      </c>
      <c r="Q29" s="3" t="s">
        <v>201</v>
      </c>
      <c r="S29" s="3" t="n">
        <f aca="false">IF($A29="","",IF(AND($O29&lt;0,$I29&lt;&gt;"Completed",$I29&lt;&gt;"Cancelled"),1,0))</f>
        <v>1</v>
      </c>
      <c r="T29" s="0" t="str">
        <f aca="false">IF($A29="","",IF($I29="Completed",ROW(),""))</f>
        <v/>
      </c>
      <c r="U29" s="0" t="str">
        <f aca="false">IF($A29="","",IF(OR($I29="Not Started",$I29="Planning",$I29="Blocked"),ROW(),""))</f>
        <v/>
      </c>
    </row>
    <row r="30" customFormat="false" ht="15" hidden="false" customHeight="false" outlineLevel="0" collapsed="false">
      <c r="A30" s="0" t="s">
        <v>213</v>
      </c>
      <c r="B30" s="3" t="s">
        <v>209</v>
      </c>
      <c r="C30" s="0" t="s">
        <v>210</v>
      </c>
      <c r="D30" s="0" t="s">
        <v>214</v>
      </c>
      <c r="E30" s="0" t="s">
        <v>215</v>
      </c>
      <c r="F30" s="3" t="s">
        <v>175</v>
      </c>
      <c r="G30" s="3" t="s">
        <v>188</v>
      </c>
      <c r="H30" s="3" t="s">
        <v>149</v>
      </c>
      <c r="I30" s="3" t="s">
        <v>121</v>
      </c>
      <c r="J30" s="37" t="n">
        <f aca="false">IF($A30="","",IFERROR(INDEX(Lists!$B$2:$B$10,MATCH($I30,Lists!$A$2:$A$10,0)),""))</f>
        <v>0.3</v>
      </c>
      <c r="K30" s="38" t="n">
        <v>46224</v>
      </c>
      <c r="L30" s="38" t="n">
        <v>46254</v>
      </c>
      <c r="M30" s="38"/>
      <c r="N30" s="3" t="n">
        <f aca="false">IF($A30="","",$L30-$K30+1)</f>
        <v>31</v>
      </c>
      <c r="O30" s="39" t="n">
        <f aca="true">IF($A30="","",IF(OR($I30="Completed",$I30="Cancelled"),0,$L30-TODAY()))</f>
        <v>25</v>
      </c>
      <c r="P30" s="3" t="s">
        <v>208</v>
      </c>
      <c r="Q30" s="3" t="s">
        <v>201</v>
      </c>
      <c r="S30" s="3" t="n">
        <f aca="false">IF($A30="","",IF(AND($O30&lt;0,$I30&lt;&gt;"Completed",$I30&lt;&gt;"Cancelled"),1,0))</f>
        <v>0</v>
      </c>
      <c r="T30" s="0" t="str">
        <f aca="false">IF($A30="","",IF($I30="Completed",ROW(),""))</f>
        <v/>
      </c>
      <c r="U30" s="0" t="str">
        <f aca="false">IF($A30="","",IF(OR($I30="Not Started",$I30="Planning",$I30="Blocked"),ROW(),""))</f>
        <v/>
      </c>
    </row>
    <row r="31" customFormat="false" ht="15" hidden="false" customHeight="false" outlineLevel="0" collapsed="false">
      <c r="A31" s="0" t="s">
        <v>216</v>
      </c>
      <c r="B31" s="3" t="s">
        <v>209</v>
      </c>
      <c r="C31" s="0" t="s">
        <v>210</v>
      </c>
      <c r="D31" s="0" t="s">
        <v>217</v>
      </c>
      <c r="E31" s="0" t="s">
        <v>218</v>
      </c>
      <c r="F31" s="3" t="s">
        <v>175</v>
      </c>
      <c r="G31" s="3" t="s">
        <v>188</v>
      </c>
      <c r="H31" s="3" t="s">
        <v>149</v>
      </c>
      <c r="I31" s="3" t="s">
        <v>219</v>
      </c>
      <c r="J31" s="37" t="n">
        <f aca="false">IF($A31="","",IFERROR(INDEX(Lists!$B$2:$B$10,MATCH($I31,Lists!$A$2:$A$10,0)),""))</f>
        <v>0.15</v>
      </c>
      <c r="K31" s="38" t="n">
        <v>46255</v>
      </c>
      <c r="L31" s="38" t="n">
        <v>46284</v>
      </c>
      <c r="M31" s="38"/>
      <c r="N31" s="3" t="n">
        <f aca="false">IF($A31="","",$L31-$K31+1)</f>
        <v>30</v>
      </c>
      <c r="O31" s="39" t="n">
        <f aca="true">IF($A31="","",IF(OR($I31="Completed",$I31="Cancelled"),0,$L31-TODAY()))</f>
        <v>55</v>
      </c>
      <c r="P31" s="3" t="s">
        <v>213</v>
      </c>
      <c r="Q31" s="3" t="s">
        <v>201</v>
      </c>
      <c r="S31" s="3" t="n">
        <f aca="false">IF($A31="","",IF(AND($O31&lt;0,$I31&lt;&gt;"Completed",$I31&lt;&gt;"Cancelled"),1,0))</f>
        <v>0</v>
      </c>
      <c r="T31" s="0" t="str">
        <f aca="false">IF($A31="","",IF($I31="Completed",ROW(),""))</f>
        <v/>
      </c>
      <c r="U31" s="3" t="n">
        <f aca="false">IF($A31="","",IF(OR($I31="Not Started",$I31="Planning",$I31="Blocked"),ROW(),""))</f>
        <v>31</v>
      </c>
    </row>
    <row r="32" customFormat="false" ht="15" hidden="false" customHeight="false" outlineLevel="0" collapsed="false">
      <c r="A32" s="0" t="s">
        <v>220</v>
      </c>
      <c r="B32" s="3" t="s">
        <v>221</v>
      </c>
      <c r="C32" s="0" t="s">
        <v>222</v>
      </c>
      <c r="D32" s="0" t="s">
        <v>223</v>
      </c>
      <c r="E32" s="0" t="s">
        <v>224</v>
      </c>
      <c r="F32" s="3" t="s">
        <v>201</v>
      </c>
      <c r="G32" s="3" t="s">
        <v>176</v>
      </c>
      <c r="H32" s="3" t="s">
        <v>149</v>
      </c>
      <c r="I32" s="3" t="s">
        <v>219</v>
      </c>
      <c r="J32" s="37" t="n">
        <f aca="false">IF($A32="","",IFERROR(INDEX(Lists!$B$2:$B$10,MATCH($I32,Lists!$A$2:$A$10,0)),""))</f>
        <v>0.15</v>
      </c>
      <c r="K32" s="38" t="n">
        <v>46225</v>
      </c>
      <c r="L32" s="38" t="n">
        <v>46254</v>
      </c>
      <c r="M32" s="38"/>
      <c r="N32" s="3" t="n">
        <f aca="false">IF($A32="","",$L32-$K32+1)</f>
        <v>30</v>
      </c>
      <c r="O32" s="39" t="n">
        <f aca="true">IF($A32="","",IF(OR($I32="Completed",$I32="Cancelled"),0,$L32-TODAY()))</f>
        <v>25</v>
      </c>
      <c r="P32" s="3" t="s">
        <v>208</v>
      </c>
      <c r="Q32" s="3" t="s">
        <v>201</v>
      </c>
      <c r="S32" s="3" t="n">
        <f aca="false">IF($A32="","",IF(AND($O32&lt;0,$I32&lt;&gt;"Completed",$I32&lt;&gt;"Cancelled"),1,0))</f>
        <v>0</v>
      </c>
      <c r="T32" s="0" t="str">
        <f aca="false">IF($A32="","",IF($I32="Completed",ROW(),""))</f>
        <v/>
      </c>
      <c r="U32" s="3" t="n">
        <f aca="false">IF($A32="","",IF(OR($I32="Not Started",$I32="Planning",$I32="Blocked"),ROW(),""))</f>
        <v>32</v>
      </c>
    </row>
    <row r="33" customFormat="false" ht="15" hidden="false" customHeight="false" outlineLevel="0" collapsed="false">
      <c r="A33" s="0" t="s">
        <v>225</v>
      </c>
      <c r="B33" s="3" t="s">
        <v>221</v>
      </c>
      <c r="C33" s="0" t="s">
        <v>222</v>
      </c>
      <c r="D33" s="0" t="s">
        <v>226</v>
      </c>
      <c r="E33" s="0" t="s">
        <v>227</v>
      </c>
      <c r="F33" s="3" t="s">
        <v>175</v>
      </c>
      <c r="G33" s="3" t="s">
        <v>176</v>
      </c>
      <c r="H33" s="3" t="s">
        <v>149</v>
      </c>
      <c r="I33" s="3" t="s">
        <v>228</v>
      </c>
      <c r="J33" s="37" t="n">
        <f aca="false">IF($A33="","",IFERROR(INDEX(Lists!$B$2:$B$10,MATCH($I33,Lists!$A$2:$A$10,0)),""))</f>
        <v>0.4</v>
      </c>
      <c r="K33" s="38" t="n">
        <v>46255</v>
      </c>
      <c r="L33" s="38" t="n">
        <v>46285</v>
      </c>
      <c r="M33" s="38"/>
      <c r="N33" s="3" t="n">
        <f aca="false">IF($A33="","",$L33-$K33+1)</f>
        <v>31</v>
      </c>
      <c r="O33" s="39" t="n">
        <f aca="true">IF($A33="","",IF(OR($I33="Completed",$I33="Cancelled"),0,$L33-TODAY()))</f>
        <v>56</v>
      </c>
      <c r="P33" s="3" t="s">
        <v>220</v>
      </c>
      <c r="Q33" s="3" t="s">
        <v>201</v>
      </c>
      <c r="R33" s="3" t="s">
        <v>229</v>
      </c>
      <c r="S33" s="3" t="n">
        <f aca="false">IF($A33="","",IF(AND($O33&lt;0,$I33&lt;&gt;"Completed",$I33&lt;&gt;"Cancelled"),1,0))</f>
        <v>0</v>
      </c>
      <c r="T33" s="0" t="str">
        <f aca="false">IF($A33="","",IF($I33="Completed",ROW(),""))</f>
        <v/>
      </c>
      <c r="U33" s="3" t="n">
        <f aca="false">IF($A33="","",IF(OR($I33="Not Started",$I33="Planning",$I33="Blocked"),ROW(),""))</f>
        <v>33</v>
      </c>
    </row>
    <row r="34" customFormat="false" ht="15" hidden="false" customHeight="false" outlineLevel="0" collapsed="false">
      <c r="A34" s="0" t="s">
        <v>230</v>
      </c>
      <c r="B34" s="3" t="s">
        <v>221</v>
      </c>
      <c r="C34" s="0" t="s">
        <v>222</v>
      </c>
      <c r="D34" s="0" t="s">
        <v>231</v>
      </c>
      <c r="E34" s="0" t="s">
        <v>232</v>
      </c>
      <c r="F34" s="3" t="s">
        <v>175</v>
      </c>
      <c r="G34" s="3" t="s">
        <v>176</v>
      </c>
      <c r="H34" s="3" t="s">
        <v>149</v>
      </c>
      <c r="I34" s="3" t="s">
        <v>233</v>
      </c>
      <c r="J34" s="37" t="n">
        <f aca="false">IF($A34="","",IFERROR(INDEX(Lists!$B$2:$B$10,MATCH($I34,Lists!$A$2:$A$10,0)),""))</f>
        <v>0</v>
      </c>
      <c r="K34" s="38" t="n">
        <v>46286</v>
      </c>
      <c r="L34" s="38" t="n">
        <v>46315</v>
      </c>
      <c r="M34" s="38"/>
      <c r="N34" s="3" t="n">
        <f aca="false">IF($A34="","",$L34-$K34+1)</f>
        <v>30</v>
      </c>
      <c r="O34" s="39" t="n">
        <f aca="true">IF($A34="","",IF(OR($I34="Completed",$I34="Cancelled"),0,$L34-TODAY()))</f>
        <v>86</v>
      </c>
      <c r="P34" s="3" t="s">
        <v>225</v>
      </c>
      <c r="Q34" s="3" t="s">
        <v>201</v>
      </c>
      <c r="S34" s="3" t="n">
        <f aca="false">IF($A34="","",IF(AND($O34&lt;0,$I34&lt;&gt;"Completed",$I34&lt;&gt;"Cancelled"),1,0))</f>
        <v>0</v>
      </c>
      <c r="T34" s="0" t="str">
        <f aca="false">IF($A34="","",IF($I34="Completed",ROW(),""))</f>
        <v/>
      </c>
      <c r="U34" s="3" t="n">
        <f aca="false">IF($A34="","",IF(OR($I34="Not Started",$I34="Planning",$I34="Blocked"),ROW(),""))</f>
        <v>34</v>
      </c>
    </row>
    <row r="35" customFormat="false" ht="15" hidden="false" customHeight="false" outlineLevel="0" collapsed="false">
      <c r="A35" s="0" t="s">
        <v>234</v>
      </c>
      <c r="B35" s="3" t="s">
        <v>235</v>
      </c>
      <c r="C35" s="0" t="s">
        <v>236</v>
      </c>
      <c r="D35" s="0" t="s">
        <v>237</v>
      </c>
      <c r="E35" s="0" t="s">
        <v>238</v>
      </c>
      <c r="F35" s="3" t="s">
        <v>97</v>
      </c>
      <c r="G35" s="3" t="s">
        <v>148</v>
      </c>
      <c r="H35" s="3" t="s">
        <v>149</v>
      </c>
      <c r="I35" s="3" t="s">
        <v>233</v>
      </c>
      <c r="J35" s="37" t="n">
        <f aca="false">IF($A35="","",IFERROR(INDEX(Lists!$B$2:$B$10,MATCH($I35,Lists!$A$2:$A$10,0)),""))</f>
        <v>0</v>
      </c>
      <c r="K35" s="38" t="n">
        <v>46240</v>
      </c>
      <c r="L35" s="38" t="n">
        <v>46259</v>
      </c>
      <c r="M35" s="38"/>
      <c r="N35" s="3" t="n">
        <f aca="false">IF($A35="","",$L35-$K35+1)</f>
        <v>20</v>
      </c>
      <c r="O35" s="39" t="n">
        <f aca="true">IF($A35="","",IF(OR($I35="Completed",$I35="Cancelled"),0,$L35-TODAY()))</f>
        <v>30</v>
      </c>
      <c r="P35" s="3" t="s">
        <v>208</v>
      </c>
      <c r="Q35" s="3" t="s">
        <v>97</v>
      </c>
      <c r="S35" s="3" t="n">
        <f aca="false">IF($A35="","",IF(AND($O35&lt;0,$I35&lt;&gt;"Completed",$I35&lt;&gt;"Cancelled"),1,0))</f>
        <v>0</v>
      </c>
      <c r="T35" s="0" t="str">
        <f aca="false">IF($A35="","",IF($I35="Completed",ROW(),""))</f>
        <v/>
      </c>
      <c r="U35" s="3" t="n">
        <f aca="false">IF($A35="","",IF(OR($I35="Not Started",$I35="Planning",$I35="Blocked"),ROW(),""))</f>
        <v>35</v>
      </c>
    </row>
    <row r="36" customFormat="false" ht="15" hidden="false" customHeight="false" outlineLevel="0" collapsed="false">
      <c r="A36" s="0" t="s">
        <v>239</v>
      </c>
      <c r="B36" s="3" t="s">
        <v>235</v>
      </c>
      <c r="C36" s="0" t="s">
        <v>236</v>
      </c>
      <c r="D36" s="0" t="s">
        <v>240</v>
      </c>
      <c r="E36" s="0" t="s">
        <v>241</v>
      </c>
      <c r="F36" s="3" t="s">
        <v>97</v>
      </c>
      <c r="G36" s="3" t="s">
        <v>148</v>
      </c>
      <c r="H36" s="3" t="s">
        <v>149</v>
      </c>
      <c r="I36" s="3" t="s">
        <v>233</v>
      </c>
      <c r="J36" s="37" t="n">
        <f aca="false">IF($A36="","",IFERROR(INDEX(Lists!$B$2:$B$10,MATCH($I36,Lists!$A$2:$A$10,0)),""))</f>
        <v>0</v>
      </c>
      <c r="K36" s="38" t="n">
        <v>46260</v>
      </c>
      <c r="L36" s="38" t="n">
        <v>46280</v>
      </c>
      <c r="M36" s="38"/>
      <c r="N36" s="3" t="n">
        <f aca="false">IF($A36="","",$L36-$K36+1)</f>
        <v>21</v>
      </c>
      <c r="O36" s="39" t="n">
        <f aca="true">IF($A36="","",IF(OR($I36="Completed",$I36="Cancelled"),0,$L36-TODAY()))</f>
        <v>51</v>
      </c>
      <c r="P36" s="3" t="s">
        <v>234</v>
      </c>
      <c r="Q36" s="3" t="s">
        <v>97</v>
      </c>
      <c r="S36" s="3" t="n">
        <f aca="false">IF($A36="","",IF(AND($O36&lt;0,$I36&lt;&gt;"Completed",$I36&lt;&gt;"Cancelled"),1,0))</f>
        <v>0</v>
      </c>
      <c r="T36" s="0" t="str">
        <f aca="false">IF($A36="","",IF($I36="Completed",ROW(),""))</f>
        <v/>
      </c>
      <c r="U36" s="3" t="n">
        <f aca="false">IF($A36="","",IF(OR($I36="Not Started",$I36="Planning",$I36="Blocked"),ROW(),""))</f>
        <v>36</v>
      </c>
    </row>
    <row r="37" customFormat="false" ht="15" hidden="false" customHeight="false" outlineLevel="0" collapsed="false">
      <c r="A37" s="0" t="s">
        <v>242</v>
      </c>
      <c r="B37" s="3" t="s">
        <v>235</v>
      </c>
      <c r="C37" s="0" t="s">
        <v>236</v>
      </c>
      <c r="D37" s="0" t="s">
        <v>243</v>
      </c>
      <c r="E37" s="0" t="s">
        <v>244</v>
      </c>
      <c r="F37" s="3" t="s">
        <v>97</v>
      </c>
      <c r="G37" s="3" t="s">
        <v>148</v>
      </c>
      <c r="H37" s="3" t="s">
        <v>149</v>
      </c>
      <c r="I37" s="3" t="s">
        <v>233</v>
      </c>
      <c r="J37" s="37" t="n">
        <f aca="false">IF($A37="","",IFERROR(INDEX(Lists!$B$2:$B$10,MATCH($I37,Lists!$A$2:$A$10,0)),""))</f>
        <v>0</v>
      </c>
      <c r="K37" s="38" t="n">
        <v>46281</v>
      </c>
      <c r="L37" s="38" t="n">
        <v>46300</v>
      </c>
      <c r="M37" s="38"/>
      <c r="N37" s="3" t="n">
        <f aca="false">IF($A37="","",$L37-$K37+1)</f>
        <v>20</v>
      </c>
      <c r="O37" s="39" t="n">
        <f aca="true">IF($A37="","",IF(OR($I37="Completed",$I37="Cancelled"),0,$L37-TODAY()))</f>
        <v>71</v>
      </c>
      <c r="P37" s="3" t="s">
        <v>239</v>
      </c>
      <c r="Q37" s="3" t="s">
        <v>97</v>
      </c>
      <c r="S37" s="3" t="n">
        <f aca="false">IF($A37="","",IF(AND($O37&lt;0,$I37&lt;&gt;"Completed",$I37&lt;&gt;"Cancelled"),1,0))</f>
        <v>0</v>
      </c>
      <c r="T37" s="0" t="str">
        <f aca="false">IF($A37="","",IF($I37="Completed",ROW(),""))</f>
        <v/>
      </c>
      <c r="U37" s="3" t="n">
        <f aca="false">IF($A37="","",IF(OR($I37="Not Started",$I37="Planning",$I37="Blocked"),ROW(),""))</f>
        <v>37</v>
      </c>
    </row>
    <row r="38" customFormat="false" ht="15" hidden="false" customHeight="false" outlineLevel="0" collapsed="false">
      <c r="A38" s="0" t="s">
        <v>245</v>
      </c>
      <c r="B38" s="3" t="s">
        <v>246</v>
      </c>
      <c r="C38" s="0" t="s">
        <v>247</v>
      </c>
      <c r="D38" s="0" t="s">
        <v>248</v>
      </c>
      <c r="E38" s="0" t="s">
        <v>249</v>
      </c>
      <c r="F38" s="3" t="s">
        <v>90</v>
      </c>
      <c r="G38" s="3" t="s">
        <v>188</v>
      </c>
      <c r="H38" s="3" t="s">
        <v>149</v>
      </c>
      <c r="I38" s="3" t="s">
        <v>233</v>
      </c>
      <c r="J38" s="37" t="n">
        <f aca="false">IF($A38="","",IFERROR(INDEX(Lists!$B$2:$B$10,MATCH($I38,Lists!$A$2:$A$10,0)),""))</f>
        <v>0</v>
      </c>
      <c r="K38" s="38" t="n">
        <v>46255</v>
      </c>
      <c r="L38" s="38" t="n">
        <v>46274</v>
      </c>
      <c r="M38" s="38"/>
      <c r="N38" s="3" t="n">
        <f aca="false">IF($A38="","",$L38-$K38+1)</f>
        <v>20</v>
      </c>
      <c r="O38" s="39" t="n">
        <f aca="true">IF($A38="","",IF(OR($I38="Completed",$I38="Cancelled"),0,$L38-TODAY()))</f>
        <v>45</v>
      </c>
      <c r="P38" s="3" t="s">
        <v>183</v>
      </c>
      <c r="Q38" s="3" t="s">
        <v>90</v>
      </c>
      <c r="S38" s="3" t="n">
        <f aca="false">IF($A38="","",IF(AND($O38&lt;0,$I38&lt;&gt;"Completed",$I38&lt;&gt;"Cancelled"),1,0))</f>
        <v>0</v>
      </c>
      <c r="T38" s="0" t="str">
        <f aca="false">IF($A38="","",IF($I38="Completed",ROW(),""))</f>
        <v/>
      </c>
      <c r="U38" s="3" t="n">
        <f aca="false">IF($A38="","",IF(OR($I38="Not Started",$I38="Planning",$I38="Blocked"),ROW(),""))</f>
        <v>38</v>
      </c>
    </row>
    <row r="39" customFormat="false" ht="15" hidden="false" customHeight="false" outlineLevel="0" collapsed="false">
      <c r="A39" s="0" t="s">
        <v>250</v>
      </c>
      <c r="B39" s="3" t="s">
        <v>246</v>
      </c>
      <c r="C39" s="0" t="s">
        <v>247</v>
      </c>
      <c r="D39" s="0" t="s">
        <v>251</v>
      </c>
      <c r="E39" s="0" t="s">
        <v>252</v>
      </c>
      <c r="F39" s="3" t="s">
        <v>97</v>
      </c>
      <c r="G39" s="3" t="s">
        <v>188</v>
      </c>
      <c r="H39" s="3" t="s">
        <v>149</v>
      </c>
      <c r="I39" s="3" t="s">
        <v>233</v>
      </c>
      <c r="J39" s="37" t="n">
        <f aca="false">IF($A39="","",IFERROR(INDEX(Lists!$B$2:$B$10,MATCH($I39,Lists!$A$2:$A$10,0)),""))</f>
        <v>0</v>
      </c>
      <c r="K39" s="38" t="n">
        <v>46275</v>
      </c>
      <c r="L39" s="38" t="n">
        <v>46295</v>
      </c>
      <c r="M39" s="38"/>
      <c r="N39" s="3" t="n">
        <f aca="false">IF($A39="","",$L39-$K39+1)</f>
        <v>21</v>
      </c>
      <c r="O39" s="39" t="n">
        <f aca="true">IF($A39="","",IF(OR($I39="Completed",$I39="Cancelled"),0,$L39-TODAY()))</f>
        <v>66</v>
      </c>
      <c r="P39" s="3" t="s">
        <v>245</v>
      </c>
      <c r="Q39" s="3" t="s">
        <v>90</v>
      </c>
      <c r="S39" s="3" t="n">
        <f aca="false">IF($A39="","",IF(AND($O39&lt;0,$I39&lt;&gt;"Completed",$I39&lt;&gt;"Cancelled"),1,0))</f>
        <v>0</v>
      </c>
      <c r="T39" s="0" t="str">
        <f aca="false">IF($A39="","",IF($I39="Completed",ROW(),""))</f>
        <v/>
      </c>
      <c r="U39" s="3" t="n">
        <f aca="false">IF($A39="","",IF(OR($I39="Not Started",$I39="Planning",$I39="Blocked"),ROW(),""))</f>
        <v>39</v>
      </c>
    </row>
    <row r="40" customFormat="false" ht="15" hidden="false" customHeight="false" outlineLevel="0" collapsed="false">
      <c r="A40" s="0" t="s">
        <v>253</v>
      </c>
      <c r="B40" s="3" t="s">
        <v>246</v>
      </c>
      <c r="C40" s="0" t="s">
        <v>247</v>
      </c>
      <c r="D40" s="0" t="s">
        <v>254</v>
      </c>
      <c r="E40" s="0" t="s">
        <v>255</v>
      </c>
      <c r="F40" s="3" t="s">
        <v>97</v>
      </c>
      <c r="G40" s="3" t="s">
        <v>188</v>
      </c>
      <c r="H40" s="3" t="s">
        <v>149</v>
      </c>
      <c r="I40" s="3" t="s">
        <v>233</v>
      </c>
      <c r="J40" s="37" t="n">
        <f aca="false">IF($A40="","",IFERROR(INDEX(Lists!$B$2:$B$10,MATCH($I40,Lists!$A$2:$A$10,0)),""))</f>
        <v>0</v>
      </c>
      <c r="K40" s="38" t="n">
        <v>46296</v>
      </c>
      <c r="L40" s="38" t="n">
        <v>46315</v>
      </c>
      <c r="M40" s="38"/>
      <c r="N40" s="3" t="n">
        <f aca="false">IF($A40="","",$L40-$K40+1)</f>
        <v>20</v>
      </c>
      <c r="O40" s="39" t="n">
        <f aca="true">IF($A40="","",IF(OR($I40="Completed",$I40="Cancelled"),0,$L40-TODAY()))</f>
        <v>86</v>
      </c>
      <c r="P40" s="3" t="s">
        <v>250</v>
      </c>
      <c r="Q40" s="3" t="s">
        <v>90</v>
      </c>
      <c r="S40" s="3" t="n">
        <f aca="false">IF($A40="","",IF(AND($O40&lt;0,$I40&lt;&gt;"Completed",$I40&lt;&gt;"Cancelled"),1,0))</f>
        <v>0</v>
      </c>
      <c r="T40" s="0" t="str">
        <f aca="false">IF($A40="","",IF($I40="Completed",ROW(),""))</f>
        <v/>
      </c>
      <c r="U40" s="3" t="n">
        <f aca="false">IF($A40="","",IF(OR($I40="Not Started",$I40="Planning",$I40="Blocked"),ROW(),""))</f>
        <v>40</v>
      </c>
    </row>
    <row r="41" customFormat="false" ht="15" hidden="false" customHeight="false" outlineLevel="0" collapsed="false">
      <c r="A41" s="0" t="s">
        <v>256</v>
      </c>
      <c r="B41" s="3" t="s">
        <v>257</v>
      </c>
      <c r="C41" s="0" t="s">
        <v>258</v>
      </c>
      <c r="D41" s="0" t="s">
        <v>259</v>
      </c>
      <c r="E41" s="0" t="s">
        <v>260</v>
      </c>
      <c r="F41" s="3" t="s">
        <v>97</v>
      </c>
      <c r="G41" s="3" t="s">
        <v>163</v>
      </c>
      <c r="H41" s="3" t="s">
        <v>149</v>
      </c>
      <c r="I41" s="3" t="s">
        <v>233</v>
      </c>
      <c r="J41" s="37" t="n">
        <f aca="false">IF($A41="","",IFERROR(INDEX(Lists!$B$2:$B$10,MATCH($I41,Lists!$A$2:$A$10,0)),""))</f>
        <v>0</v>
      </c>
      <c r="K41" s="38" t="n">
        <v>46270</v>
      </c>
      <c r="L41" s="38" t="n">
        <v>46289</v>
      </c>
      <c r="M41" s="38"/>
      <c r="N41" s="3" t="n">
        <f aca="false">IF($A41="","",$L41-$K41+1)</f>
        <v>20</v>
      </c>
      <c r="O41" s="39" t="n">
        <f aca="true">IF($A41="","",IF(OR($I41="Completed",$I41="Cancelled"),0,$L41-TODAY()))</f>
        <v>60</v>
      </c>
      <c r="P41" s="3" t="s">
        <v>196</v>
      </c>
      <c r="Q41" s="3" t="s">
        <v>97</v>
      </c>
      <c r="S41" s="3" t="n">
        <f aca="false">IF($A41="","",IF(AND($O41&lt;0,$I41&lt;&gt;"Completed",$I41&lt;&gt;"Cancelled"),1,0))</f>
        <v>0</v>
      </c>
      <c r="T41" s="0" t="str">
        <f aca="false">IF($A41="","",IF($I41="Completed",ROW(),""))</f>
        <v/>
      </c>
      <c r="U41" s="3" t="n">
        <f aca="false">IF($A41="","",IF(OR($I41="Not Started",$I41="Planning",$I41="Blocked"),ROW(),""))</f>
        <v>41</v>
      </c>
    </row>
    <row r="42" customFormat="false" ht="15" hidden="false" customHeight="false" outlineLevel="0" collapsed="false">
      <c r="A42" s="0" t="s">
        <v>261</v>
      </c>
      <c r="B42" s="3" t="s">
        <v>257</v>
      </c>
      <c r="C42" s="0" t="s">
        <v>258</v>
      </c>
      <c r="D42" s="0" t="s">
        <v>262</v>
      </c>
      <c r="E42" s="0" t="s">
        <v>263</v>
      </c>
      <c r="F42" s="3" t="s">
        <v>97</v>
      </c>
      <c r="G42" s="3" t="s">
        <v>163</v>
      </c>
      <c r="H42" s="3" t="s">
        <v>149</v>
      </c>
      <c r="I42" s="3" t="s">
        <v>233</v>
      </c>
      <c r="J42" s="37" t="n">
        <f aca="false">IF($A42="","",IFERROR(INDEX(Lists!$B$2:$B$10,MATCH($I42,Lists!$A$2:$A$10,0)),""))</f>
        <v>0</v>
      </c>
      <c r="K42" s="38" t="n">
        <v>46290</v>
      </c>
      <c r="L42" s="38" t="n">
        <v>46310</v>
      </c>
      <c r="M42" s="38"/>
      <c r="N42" s="3" t="n">
        <f aca="false">IF($A42="","",$L42-$K42+1)</f>
        <v>21</v>
      </c>
      <c r="O42" s="39" t="n">
        <f aca="true">IF($A42="","",IF(OR($I42="Completed",$I42="Cancelled"),0,$L42-TODAY()))</f>
        <v>81</v>
      </c>
      <c r="P42" s="3" t="s">
        <v>256</v>
      </c>
      <c r="Q42" s="3" t="s">
        <v>97</v>
      </c>
      <c r="S42" s="3" t="n">
        <f aca="false">IF($A42="","",IF(AND($O42&lt;0,$I42&lt;&gt;"Completed",$I42&lt;&gt;"Cancelled"),1,0))</f>
        <v>0</v>
      </c>
      <c r="T42" s="0" t="str">
        <f aca="false">IF($A42="","",IF($I42="Completed",ROW(),""))</f>
        <v/>
      </c>
      <c r="U42" s="3" t="n">
        <f aca="false">IF($A42="","",IF(OR($I42="Not Started",$I42="Planning",$I42="Blocked"),ROW(),""))</f>
        <v>42</v>
      </c>
    </row>
    <row r="43" customFormat="false" ht="15" hidden="false" customHeight="false" outlineLevel="0" collapsed="false">
      <c r="A43" s="0" t="s">
        <v>264</v>
      </c>
      <c r="B43" s="3" t="s">
        <v>257</v>
      </c>
      <c r="C43" s="0" t="s">
        <v>258</v>
      </c>
      <c r="D43" s="0" t="s">
        <v>265</v>
      </c>
      <c r="E43" s="0" t="s">
        <v>266</v>
      </c>
      <c r="F43" s="3" t="s">
        <v>97</v>
      </c>
      <c r="G43" s="3" t="s">
        <v>163</v>
      </c>
      <c r="H43" s="3" t="s">
        <v>149</v>
      </c>
      <c r="I43" s="3" t="s">
        <v>233</v>
      </c>
      <c r="J43" s="37" t="n">
        <f aca="false">IF($A43="","",IFERROR(INDEX(Lists!$B$2:$B$10,MATCH($I43,Lists!$A$2:$A$10,0)),""))</f>
        <v>0</v>
      </c>
      <c r="K43" s="38" t="n">
        <v>46311</v>
      </c>
      <c r="L43" s="38" t="n">
        <v>46330</v>
      </c>
      <c r="M43" s="38"/>
      <c r="N43" s="3" t="n">
        <f aca="false">IF($A43="","",$L43-$K43+1)</f>
        <v>20</v>
      </c>
      <c r="O43" s="39" t="n">
        <f aca="true">IF($A43="","",IF(OR($I43="Completed",$I43="Cancelled"),0,$L43-TODAY()))</f>
        <v>101</v>
      </c>
      <c r="P43" s="3" t="s">
        <v>261</v>
      </c>
      <c r="Q43" s="3" t="s">
        <v>97</v>
      </c>
      <c r="S43" s="3" t="n">
        <f aca="false">IF($A43="","",IF(AND($O43&lt;0,$I43&lt;&gt;"Completed",$I43&lt;&gt;"Cancelled"),1,0))</f>
        <v>0</v>
      </c>
      <c r="T43" s="0" t="str">
        <f aca="false">IF($A43="","",IF($I43="Completed",ROW(),""))</f>
        <v/>
      </c>
      <c r="U43" s="3" t="n">
        <f aca="false">IF($A43="","",IF(OR($I43="Not Started",$I43="Planning",$I43="Blocked"),ROW(),""))</f>
        <v>43</v>
      </c>
    </row>
    <row r="44" customFormat="false" ht="15" hidden="false" customHeight="false" outlineLevel="0" collapsed="false">
      <c r="A44" s="0" t="s">
        <v>267</v>
      </c>
      <c r="B44" s="3" t="s">
        <v>268</v>
      </c>
      <c r="C44" s="0" t="s">
        <v>269</v>
      </c>
      <c r="D44" s="0" t="s">
        <v>270</v>
      </c>
      <c r="E44" s="0" t="s">
        <v>271</v>
      </c>
      <c r="F44" s="3" t="s">
        <v>97</v>
      </c>
      <c r="G44" s="3" t="s">
        <v>272</v>
      </c>
      <c r="H44" s="3" t="s">
        <v>273</v>
      </c>
      <c r="I44" s="3" t="s">
        <v>233</v>
      </c>
      <c r="J44" s="37" t="n">
        <f aca="false">IF($A44="","",IFERROR(INDEX(Lists!$B$2:$B$10,MATCH($I44,Lists!$A$2:$A$10,0)),""))</f>
        <v>0</v>
      </c>
      <c r="K44" s="38" t="n">
        <v>46285</v>
      </c>
      <c r="L44" s="38" t="n">
        <v>46309</v>
      </c>
      <c r="M44" s="38"/>
      <c r="N44" s="3" t="n">
        <f aca="false">IF($A44="","",$L44-$K44+1)</f>
        <v>25</v>
      </c>
      <c r="O44" s="39" t="n">
        <f aca="true">IF($A44="","",IF(OR($I44="Completed",$I44="Cancelled"),0,$L44-TODAY()))</f>
        <v>80</v>
      </c>
      <c r="P44" s="3" t="s">
        <v>220</v>
      </c>
      <c r="Q44" s="3" t="s">
        <v>97</v>
      </c>
      <c r="S44" s="3" t="n">
        <f aca="false">IF($A44="","",IF(AND($O44&lt;0,$I44&lt;&gt;"Completed",$I44&lt;&gt;"Cancelled"),1,0))</f>
        <v>0</v>
      </c>
      <c r="T44" s="0" t="str">
        <f aca="false">IF($A44="","",IF($I44="Completed",ROW(),""))</f>
        <v/>
      </c>
      <c r="U44" s="3" t="n">
        <f aca="false">IF($A44="","",IF(OR($I44="Not Started",$I44="Planning",$I44="Blocked"),ROW(),""))</f>
        <v>44</v>
      </c>
    </row>
    <row r="45" customFormat="false" ht="15" hidden="false" customHeight="false" outlineLevel="0" collapsed="false">
      <c r="A45" s="0" t="s">
        <v>274</v>
      </c>
      <c r="B45" s="3" t="s">
        <v>268</v>
      </c>
      <c r="C45" s="0" t="s">
        <v>269</v>
      </c>
      <c r="D45" s="0" t="s">
        <v>275</v>
      </c>
      <c r="E45" s="0" t="s">
        <v>276</v>
      </c>
      <c r="F45" s="3" t="s">
        <v>97</v>
      </c>
      <c r="G45" s="3" t="s">
        <v>272</v>
      </c>
      <c r="H45" s="3" t="s">
        <v>273</v>
      </c>
      <c r="I45" s="3" t="s">
        <v>233</v>
      </c>
      <c r="J45" s="37" t="n">
        <f aca="false">IF($A45="","",IFERROR(INDEX(Lists!$B$2:$B$10,MATCH($I45,Lists!$A$2:$A$10,0)),""))</f>
        <v>0</v>
      </c>
      <c r="K45" s="38" t="n">
        <v>46310</v>
      </c>
      <c r="L45" s="38" t="n">
        <v>46335</v>
      </c>
      <c r="M45" s="38"/>
      <c r="N45" s="3" t="n">
        <f aca="false">IF($A45="","",$L45-$K45+1)</f>
        <v>26</v>
      </c>
      <c r="O45" s="39" t="n">
        <f aca="true">IF($A45="","",IF(OR($I45="Completed",$I45="Cancelled"),0,$L45-TODAY()))</f>
        <v>106</v>
      </c>
      <c r="P45" s="3" t="s">
        <v>267</v>
      </c>
      <c r="Q45" s="3" t="s">
        <v>97</v>
      </c>
      <c r="S45" s="3" t="n">
        <f aca="false">IF($A45="","",IF(AND($O45&lt;0,$I45&lt;&gt;"Completed",$I45&lt;&gt;"Cancelled"),1,0))</f>
        <v>0</v>
      </c>
      <c r="T45" s="0" t="str">
        <f aca="false">IF($A45="","",IF($I45="Completed",ROW(),""))</f>
        <v/>
      </c>
      <c r="U45" s="3" t="n">
        <f aca="false">IF($A45="","",IF(OR($I45="Not Started",$I45="Planning",$I45="Blocked"),ROW(),""))</f>
        <v>45</v>
      </c>
    </row>
    <row r="46" customFormat="false" ht="15" hidden="false" customHeight="false" outlineLevel="0" collapsed="false">
      <c r="A46" s="0" t="s">
        <v>277</v>
      </c>
      <c r="B46" s="3" t="s">
        <v>268</v>
      </c>
      <c r="C46" s="0" t="s">
        <v>269</v>
      </c>
      <c r="D46" s="0" t="s">
        <v>278</v>
      </c>
      <c r="E46" s="0" t="s">
        <v>279</v>
      </c>
      <c r="F46" s="3" t="s">
        <v>97</v>
      </c>
      <c r="G46" s="3" t="s">
        <v>272</v>
      </c>
      <c r="H46" s="3" t="s">
        <v>273</v>
      </c>
      <c r="I46" s="3" t="s">
        <v>233</v>
      </c>
      <c r="J46" s="37" t="n">
        <f aca="false">IF($A46="","",IFERROR(INDEX(Lists!$B$2:$B$10,MATCH($I46,Lists!$A$2:$A$10,0)),""))</f>
        <v>0</v>
      </c>
      <c r="K46" s="38" t="n">
        <v>46336</v>
      </c>
      <c r="L46" s="38" t="n">
        <v>46360</v>
      </c>
      <c r="M46" s="38"/>
      <c r="N46" s="3" t="n">
        <f aca="false">IF($A46="","",$L46-$K46+1)</f>
        <v>25</v>
      </c>
      <c r="O46" s="39" t="n">
        <f aca="true">IF($A46="","",IF(OR($I46="Completed",$I46="Cancelled"),0,$L46-TODAY()))</f>
        <v>131</v>
      </c>
      <c r="P46" s="3" t="s">
        <v>274</v>
      </c>
      <c r="Q46" s="3" t="s">
        <v>97</v>
      </c>
      <c r="S46" s="3" t="n">
        <f aca="false">IF($A46="","",IF(AND($O46&lt;0,$I46&lt;&gt;"Completed",$I46&lt;&gt;"Cancelled"),1,0))</f>
        <v>0</v>
      </c>
      <c r="T46" s="0" t="str">
        <f aca="false">IF($A46="","",IF($I46="Completed",ROW(),""))</f>
        <v/>
      </c>
      <c r="U46" s="3" t="n">
        <f aca="false">IF($A46="","",IF(OR($I46="Not Started",$I46="Planning",$I46="Blocked"),ROW(),""))</f>
        <v>46</v>
      </c>
    </row>
    <row r="47" customFormat="false" ht="15" hidden="false" customHeight="false" outlineLevel="0" collapsed="false">
      <c r="A47" s="0" t="s">
        <v>280</v>
      </c>
      <c r="B47" s="3" t="s">
        <v>281</v>
      </c>
      <c r="C47" s="0" t="s">
        <v>282</v>
      </c>
      <c r="D47" s="0" t="s">
        <v>283</v>
      </c>
      <c r="E47" s="0" t="s">
        <v>284</v>
      </c>
      <c r="F47" s="3" t="s">
        <v>97</v>
      </c>
      <c r="G47" s="3" t="s">
        <v>272</v>
      </c>
      <c r="H47" s="3" t="s">
        <v>273</v>
      </c>
      <c r="I47" s="3" t="s">
        <v>233</v>
      </c>
      <c r="J47" s="37" t="n">
        <f aca="false">IF($A47="","",IFERROR(INDEX(Lists!$B$2:$B$10,MATCH($I47,Lists!$A$2:$A$10,0)),""))</f>
        <v>0</v>
      </c>
      <c r="K47" s="38" t="n">
        <v>46301</v>
      </c>
      <c r="L47" s="38" t="n">
        <v>46325</v>
      </c>
      <c r="M47" s="38"/>
      <c r="N47" s="3" t="n">
        <f aca="false">IF($A47="","",$L47-$K47+1)</f>
        <v>25</v>
      </c>
      <c r="O47" s="39" t="n">
        <f aca="true">IF($A47="","",IF(OR($I47="Completed",$I47="Cancelled"),0,$L47-TODAY()))</f>
        <v>96</v>
      </c>
      <c r="P47" s="3" t="s">
        <v>267</v>
      </c>
      <c r="Q47" s="3" t="s">
        <v>97</v>
      </c>
      <c r="S47" s="3" t="n">
        <f aca="false">IF($A47="","",IF(AND($O47&lt;0,$I47&lt;&gt;"Completed",$I47&lt;&gt;"Cancelled"),1,0))</f>
        <v>0</v>
      </c>
      <c r="T47" s="0" t="str">
        <f aca="false">IF($A47="","",IF($I47="Completed",ROW(),""))</f>
        <v/>
      </c>
      <c r="U47" s="3" t="n">
        <f aca="false">IF($A47="","",IF(OR($I47="Not Started",$I47="Planning",$I47="Blocked"),ROW(),""))</f>
        <v>47</v>
      </c>
    </row>
    <row r="48" customFormat="false" ht="15" hidden="false" customHeight="false" outlineLevel="0" collapsed="false">
      <c r="A48" s="0" t="s">
        <v>285</v>
      </c>
      <c r="B48" s="3" t="s">
        <v>281</v>
      </c>
      <c r="C48" s="0" t="s">
        <v>282</v>
      </c>
      <c r="D48" s="0" t="s">
        <v>286</v>
      </c>
      <c r="E48" s="0" t="s">
        <v>287</v>
      </c>
      <c r="F48" s="3" t="s">
        <v>97</v>
      </c>
      <c r="G48" s="3" t="s">
        <v>272</v>
      </c>
      <c r="H48" s="3" t="s">
        <v>273</v>
      </c>
      <c r="I48" s="3" t="s">
        <v>233</v>
      </c>
      <c r="J48" s="37" t="n">
        <f aca="false">IF($A48="","",IFERROR(INDEX(Lists!$B$2:$B$10,MATCH($I48,Lists!$A$2:$A$10,0)),""))</f>
        <v>0</v>
      </c>
      <c r="K48" s="38" t="n">
        <v>46326</v>
      </c>
      <c r="L48" s="38" t="n">
        <v>46351</v>
      </c>
      <c r="M48" s="38"/>
      <c r="N48" s="3" t="n">
        <f aca="false">IF($A48="","",$L48-$K48+1)</f>
        <v>26</v>
      </c>
      <c r="O48" s="39" t="n">
        <f aca="true">IF($A48="","",IF(OR($I48="Completed",$I48="Cancelled"),0,$L48-TODAY()))</f>
        <v>122</v>
      </c>
      <c r="P48" s="3" t="s">
        <v>280</v>
      </c>
      <c r="Q48" s="3" t="s">
        <v>97</v>
      </c>
      <c r="S48" s="3" t="n">
        <f aca="false">IF($A48="","",IF(AND($O48&lt;0,$I48&lt;&gt;"Completed",$I48&lt;&gt;"Cancelled"),1,0))</f>
        <v>0</v>
      </c>
      <c r="T48" s="0" t="str">
        <f aca="false">IF($A48="","",IF($I48="Completed",ROW(),""))</f>
        <v/>
      </c>
      <c r="U48" s="3" t="n">
        <f aca="false">IF($A48="","",IF(OR($I48="Not Started",$I48="Planning",$I48="Blocked"),ROW(),""))</f>
        <v>48</v>
      </c>
    </row>
    <row r="49" customFormat="false" ht="15" hidden="false" customHeight="false" outlineLevel="0" collapsed="false">
      <c r="A49" s="0" t="s">
        <v>288</v>
      </c>
      <c r="B49" s="3" t="s">
        <v>281</v>
      </c>
      <c r="C49" s="0" t="s">
        <v>282</v>
      </c>
      <c r="D49" s="0" t="s">
        <v>289</v>
      </c>
      <c r="E49" s="0" t="s">
        <v>290</v>
      </c>
      <c r="F49" s="3" t="s">
        <v>97</v>
      </c>
      <c r="G49" s="3" t="s">
        <v>272</v>
      </c>
      <c r="H49" s="3" t="s">
        <v>273</v>
      </c>
      <c r="I49" s="3" t="s">
        <v>233</v>
      </c>
      <c r="J49" s="37" t="n">
        <f aca="false">IF($A49="","",IFERROR(INDEX(Lists!$B$2:$B$10,MATCH($I49,Lists!$A$2:$A$10,0)),""))</f>
        <v>0</v>
      </c>
      <c r="K49" s="38" t="n">
        <v>46352</v>
      </c>
      <c r="L49" s="38" t="n">
        <v>46376</v>
      </c>
      <c r="M49" s="38"/>
      <c r="N49" s="3" t="n">
        <f aca="false">IF($A49="","",$L49-$K49+1)</f>
        <v>25</v>
      </c>
      <c r="O49" s="39" t="n">
        <f aca="true">IF($A49="","",IF(OR($I49="Completed",$I49="Cancelled"),0,$L49-TODAY()))</f>
        <v>147</v>
      </c>
      <c r="P49" s="3" t="s">
        <v>285</v>
      </c>
      <c r="Q49" s="3" t="s">
        <v>97</v>
      </c>
      <c r="S49" s="3" t="n">
        <f aca="false">IF($A49="","",IF(AND($O49&lt;0,$I49&lt;&gt;"Completed",$I49&lt;&gt;"Cancelled"),1,0))</f>
        <v>0</v>
      </c>
      <c r="T49" s="0" t="str">
        <f aca="false">IF($A49="","",IF($I49="Completed",ROW(),""))</f>
        <v/>
      </c>
      <c r="U49" s="3" t="n">
        <f aca="false">IF($A49="","",IF(OR($I49="Not Started",$I49="Planning",$I49="Blocked"),ROW(),""))</f>
        <v>49</v>
      </c>
    </row>
    <row r="50" customFormat="false" ht="15" hidden="false" customHeight="false" outlineLevel="0" collapsed="false">
      <c r="A50" s="0" t="s">
        <v>291</v>
      </c>
      <c r="B50" s="3" t="s">
        <v>292</v>
      </c>
      <c r="C50" s="0" t="s">
        <v>293</v>
      </c>
      <c r="D50" s="0" t="s">
        <v>294</v>
      </c>
      <c r="E50" s="0" t="s">
        <v>295</v>
      </c>
      <c r="F50" s="3" t="s">
        <v>175</v>
      </c>
      <c r="G50" s="3" t="s">
        <v>272</v>
      </c>
      <c r="H50" s="3" t="s">
        <v>273</v>
      </c>
      <c r="I50" s="3" t="s">
        <v>228</v>
      </c>
      <c r="J50" s="37" t="n">
        <f aca="false">IF($A50="","",IFERROR(INDEX(Lists!$B$2:$B$10,MATCH($I50,Lists!$A$2:$A$10,0)),""))</f>
        <v>0.4</v>
      </c>
      <c r="K50" s="38" t="n">
        <v>46316</v>
      </c>
      <c r="L50" s="38" t="n">
        <v>46345</v>
      </c>
      <c r="M50" s="38"/>
      <c r="N50" s="3" t="n">
        <f aca="false">IF($A50="","",$L50-$K50+1)</f>
        <v>30</v>
      </c>
      <c r="O50" s="39" t="n">
        <f aca="true">IF($A50="","",IF(OR($I50="Completed",$I50="Cancelled"),0,$L50-TODAY()))</f>
        <v>116</v>
      </c>
      <c r="P50" s="3" t="s">
        <v>280</v>
      </c>
      <c r="Q50" s="3" t="s">
        <v>175</v>
      </c>
      <c r="R50" s="3" t="s">
        <v>296</v>
      </c>
      <c r="S50" s="3" t="n">
        <f aca="false">IF($A50="","",IF(AND($O50&lt;0,$I50&lt;&gt;"Completed",$I50&lt;&gt;"Cancelled"),1,0))</f>
        <v>0</v>
      </c>
      <c r="T50" s="0" t="str">
        <f aca="false">IF($A50="","",IF($I50="Completed",ROW(),""))</f>
        <v/>
      </c>
      <c r="U50" s="3" t="n">
        <f aca="false">IF($A50="","",IF(OR($I50="Not Started",$I50="Planning",$I50="Blocked"),ROW(),""))</f>
        <v>50</v>
      </c>
    </row>
    <row r="51" customFormat="false" ht="15" hidden="false" customHeight="false" outlineLevel="0" collapsed="false">
      <c r="A51" s="0" t="s">
        <v>297</v>
      </c>
      <c r="B51" s="3" t="s">
        <v>292</v>
      </c>
      <c r="C51" s="0" t="s">
        <v>293</v>
      </c>
      <c r="D51" s="0" t="s">
        <v>298</v>
      </c>
      <c r="E51" s="0" t="s">
        <v>299</v>
      </c>
      <c r="F51" s="3" t="s">
        <v>175</v>
      </c>
      <c r="G51" s="3" t="s">
        <v>272</v>
      </c>
      <c r="H51" s="3" t="s">
        <v>273</v>
      </c>
      <c r="I51" s="3" t="s">
        <v>233</v>
      </c>
      <c r="J51" s="37" t="n">
        <f aca="false">IF($A51="","",IFERROR(INDEX(Lists!$B$2:$B$10,MATCH($I51,Lists!$A$2:$A$10,0)),""))</f>
        <v>0</v>
      </c>
      <c r="K51" s="38" t="n">
        <v>46346</v>
      </c>
      <c r="L51" s="38" t="n">
        <v>46376</v>
      </c>
      <c r="M51" s="38"/>
      <c r="N51" s="3" t="n">
        <f aca="false">IF($A51="","",$L51-$K51+1)</f>
        <v>31</v>
      </c>
      <c r="O51" s="39" t="n">
        <f aca="true">IF($A51="","",IF(OR($I51="Completed",$I51="Cancelled"),0,$L51-TODAY()))</f>
        <v>147</v>
      </c>
      <c r="P51" s="3" t="s">
        <v>291</v>
      </c>
      <c r="Q51" s="3" t="s">
        <v>175</v>
      </c>
      <c r="S51" s="3" t="n">
        <f aca="false">IF($A51="","",IF(AND($O51&lt;0,$I51&lt;&gt;"Completed",$I51&lt;&gt;"Cancelled"),1,0))</f>
        <v>0</v>
      </c>
      <c r="T51" s="0" t="str">
        <f aca="false">IF($A51="","",IF($I51="Completed",ROW(),""))</f>
        <v/>
      </c>
      <c r="U51" s="3" t="n">
        <f aca="false">IF($A51="","",IF(OR($I51="Not Started",$I51="Planning",$I51="Blocked"),ROW(),""))</f>
        <v>51</v>
      </c>
    </row>
    <row r="52" customFormat="false" ht="15" hidden="false" customHeight="false" outlineLevel="0" collapsed="false">
      <c r="A52" s="0" t="s">
        <v>300</v>
      </c>
      <c r="B52" s="3" t="s">
        <v>292</v>
      </c>
      <c r="C52" s="0" t="s">
        <v>293</v>
      </c>
      <c r="D52" s="0" t="s">
        <v>301</v>
      </c>
      <c r="E52" s="0" t="s">
        <v>302</v>
      </c>
      <c r="F52" s="3" t="s">
        <v>175</v>
      </c>
      <c r="G52" s="3" t="s">
        <v>272</v>
      </c>
      <c r="H52" s="3" t="s">
        <v>273</v>
      </c>
      <c r="I52" s="3" t="s">
        <v>233</v>
      </c>
      <c r="J52" s="37" t="n">
        <f aca="false">IF($A52="","",IFERROR(INDEX(Lists!$B$2:$B$10,MATCH($I52,Lists!$A$2:$A$10,0)),""))</f>
        <v>0</v>
      </c>
      <c r="K52" s="38" t="n">
        <v>46377</v>
      </c>
      <c r="L52" s="38" t="n">
        <v>46406</v>
      </c>
      <c r="M52" s="38"/>
      <c r="N52" s="3" t="n">
        <f aca="false">IF($A52="","",$L52-$K52+1)</f>
        <v>30</v>
      </c>
      <c r="O52" s="39" t="n">
        <f aca="true">IF($A52="","",IF(OR($I52="Completed",$I52="Cancelled"),0,$L52-TODAY()))</f>
        <v>177</v>
      </c>
      <c r="P52" s="3" t="s">
        <v>297</v>
      </c>
      <c r="Q52" s="3" t="s">
        <v>175</v>
      </c>
      <c r="S52" s="3" t="n">
        <f aca="false">IF($A52="","",IF(AND($O52&lt;0,$I52&lt;&gt;"Completed",$I52&lt;&gt;"Cancelled"),1,0))</f>
        <v>0</v>
      </c>
      <c r="T52" s="0" t="str">
        <f aca="false">IF($A52="","",IF($I52="Completed",ROW(),""))</f>
        <v/>
      </c>
      <c r="U52" s="3" t="n">
        <f aca="false">IF($A52="","",IF(OR($I52="Not Started",$I52="Planning",$I52="Blocked"),ROW(),""))</f>
        <v>52</v>
      </c>
    </row>
    <row r="53" customFormat="false" ht="15" hidden="false" customHeight="false" outlineLevel="0" collapsed="false">
      <c r="A53" s="0" t="s">
        <v>303</v>
      </c>
      <c r="B53" s="3" t="s">
        <v>304</v>
      </c>
      <c r="C53" s="0" t="s">
        <v>305</v>
      </c>
      <c r="D53" s="0" t="s">
        <v>306</v>
      </c>
      <c r="E53" s="0" t="s">
        <v>307</v>
      </c>
      <c r="F53" s="3" t="s">
        <v>97</v>
      </c>
      <c r="G53" s="3" t="s">
        <v>163</v>
      </c>
      <c r="H53" s="3" t="s">
        <v>149</v>
      </c>
      <c r="I53" s="3" t="s">
        <v>233</v>
      </c>
      <c r="J53" s="37" t="n">
        <f aca="false">IF($A53="","",IFERROR(INDEX(Lists!$B$2:$B$10,MATCH($I53,Lists!$A$2:$A$10,0)),""))</f>
        <v>0</v>
      </c>
      <c r="K53" s="38" t="n">
        <v>46285</v>
      </c>
      <c r="L53" s="38" t="n">
        <v>46309</v>
      </c>
      <c r="M53" s="38"/>
      <c r="N53" s="3" t="n">
        <f aca="false">IF($A53="","",$L53-$K53+1)</f>
        <v>25</v>
      </c>
      <c r="O53" s="39" t="n">
        <f aca="true">IF($A53="","",IF(OR($I53="Completed",$I53="Cancelled"),0,$L53-TODAY()))</f>
        <v>80</v>
      </c>
      <c r="P53" s="3" t="s">
        <v>158</v>
      </c>
      <c r="Q53" s="3" t="s">
        <v>97</v>
      </c>
      <c r="S53" s="3" t="n">
        <f aca="false">IF($A53="","",IF(AND($O53&lt;0,$I53&lt;&gt;"Completed",$I53&lt;&gt;"Cancelled"),1,0))</f>
        <v>0</v>
      </c>
      <c r="T53" s="0" t="str">
        <f aca="false">IF($A53="","",IF($I53="Completed",ROW(),""))</f>
        <v/>
      </c>
      <c r="U53" s="3" t="n">
        <f aca="false">IF($A53="","",IF(OR($I53="Not Started",$I53="Planning",$I53="Blocked"),ROW(),""))</f>
        <v>53</v>
      </c>
    </row>
    <row r="54" customFormat="false" ht="15" hidden="false" customHeight="false" outlineLevel="0" collapsed="false">
      <c r="A54" s="0" t="s">
        <v>308</v>
      </c>
      <c r="B54" s="3" t="s">
        <v>304</v>
      </c>
      <c r="C54" s="0" t="s">
        <v>305</v>
      </c>
      <c r="D54" s="0" t="s">
        <v>309</v>
      </c>
      <c r="E54" s="0" t="s">
        <v>310</v>
      </c>
      <c r="F54" s="3" t="s">
        <v>97</v>
      </c>
      <c r="G54" s="3" t="s">
        <v>163</v>
      </c>
      <c r="H54" s="3" t="s">
        <v>149</v>
      </c>
      <c r="I54" s="3" t="s">
        <v>233</v>
      </c>
      <c r="J54" s="37" t="n">
        <f aca="false">IF($A54="","",IFERROR(INDEX(Lists!$B$2:$B$10,MATCH($I54,Lists!$A$2:$A$10,0)),""))</f>
        <v>0</v>
      </c>
      <c r="K54" s="38" t="n">
        <v>46310</v>
      </c>
      <c r="L54" s="38" t="n">
        <v>46335</v>
      </c>
      <c r="M54" s="38"/>
      <c r="N54" s="3" t="n">
        <f aca="false">IF($A54="","",$L54-$K54+1)</f>
        <v>26</v>
      </c>
      <c r="O54" s="39" t="n">
        <f aca="true">IF($A54="","",IF(OR($I54="Completed",$I54="Cancelled"),0,$L54-TODAY()))</f>
        <v>106</v>
      </c>
      <c r="P54" s="3" t="s">
        <v>303</v>
      </c>
      <c r="Q54" s="3" t="s">
        <v>97</v>
      </c>
      <c r="S54" s="3" t="n">
        <f aca="false">IF($A54="","",IF(AND($O54&lt;0,$I54&lt;&gt;"Completed",$I54&lt;&gt;"Cancelled"),1,0))</f>
        <v>0</v>
      </c>
      <c r="T54" s="0" t="str">
        <f aca="false">IF($A54="","",IF($I54="Completed",ROW(),""))</f>
        <v/>
      </c>
      <c r="U54" s="3" t="n">
        <f aca="false">IF($A54="","",IF(OR($I54="Not Started",$I54="Planning",$I54="Blocked"),ROW(),""))</f>
        <v>54</v>
      </c>
    </row>
    <row r="55" customFormat="false" ht="15" hidden="false" customHeight="false" outlineLevel="0" collapsed="false">
      <c r="A55" s="0" t="s">
        <v>311</v>
      </c>
      <c r="B55" s="3" t="s">
        <v>304</v>
      </c>
      <c r="C55" s="0" t="s">
        <v>305</v>
      </c>
      <c r="D55" s="0" t="s">
        <v>312</v>
      </c>
      <c r="E55" s="0" t="s">
        <v>313</v>
      </c>
      <c r="F55" s="3" t="s">
        <v>97</v>
      </c>
      <c r="G55" s="3" t="s">
        <v>163</v>
      </c>
      <c r="H55" s="3" t="s">
        <v>149</v>
      </c>
      <c r="I55" s="3" t="s">
        <v>233</v>
      </c>
      <c r="J55" s="37" t="n">
        <f aca="false">IF($A55="","",IFERROR(INDEX(Lists!$B$2:$B$10,MATCH($I55,Lists!$A$2:$A$10,0)),""))</f>
        <v>0</v>
      </c>
      <c r="K55" s="38" t="n">
        <v>46336</v>
      </c>
      <c r="L55" s="38" t="n">
        <v>46360</v>
      </c>
      <c r="M55" s="38"/>
      <c r="N55" s="3" t="n">
        <f aca="false">IF($A55="","",$L55-$K55+1)</f>
        <v>25</v>
      </c>
      <c r="O55" s="39" t="n">
        <f aca="true">IF($A55="","",IF(OR($I55="Completed",$I55="Cancelled"),0,$L55-TODAY()))</f>
        <v>131</v>
      </c>
      <c r="P55" s="3" t="s">
        <v>308</v>
      </c>
      <c r="Q55" s="3" t="s">
        <v>97</v>
      </c>
      <c r="S55" s="3" t="n">
        <f aca="false">IF($A55="","",IF(AND($O55&lt;0,$I55&lt;&gt;"Completed",$I55&lt;&gt;"Cancelled"),1,0))</f>
        <v>0</v>
      </c>
      <c r="T55" s="0" t="str">
        <f aca="false">IF($A55="","",IF($I55="Completed",ROW(),""))</f>
        <v/>
      </c>
      <c r="U55" s="3" t="n">
        <f aca="false">IF($A55="","",IF(OR($I55="Not Started",$I55="Planning",$I55="Blocked"),ROW(),""))</f>
        <v>55</v>
      </c>
    </row>
    <row r="56" customFormat="false" ht="15" hidden="false" customHeight="false" outlineLevel="0" collapsed="false">
      <c r="A56" s="0" t="s">
        <v>314</v>
      </c>
      <c r="B56" s="3" t="s">
        <v>315</v>
      </c>
      <c r="C56" s="0" t="s">
        <v>316</v>
      </c>
      <c r="D56" s="0" t="s">
        <v>317</v>
      </c>
      <c r="E56" s="0" t="s">
        <v>318</v>
      </c>
      <c r="F56" s="3" t="s">
        <v>175</v>
      </c>
      <c r="G56" s="3" t="s">
        <v>176</v>
      </c>
      <c r="H56" s="3" t="s">
        <v>149</v>
      </c>
      <c r="I56" s="3" t="s">
        <v>157</v>
      </c>
      <c r="J56" s="37" t="n">
        <f aca="false">IF($A56="","",IFERROR(INDEX(Lists!$B$2:$B$10,MATCH($I56,Lists!$A$2:$A$10,0)),""))</f>
        <v>0.55</v>
      </c>
      <c r="K56" s="38" t="n">
        <v>46133</v>
      </c>
      <c r="L56" s="38" t="n">
        <v>46203</v>
      </c>
      <c r="M56" s="38"/>
      <c r="N56" s="3" t="n">
        <f aca="false">IF($A56="","",$L56-$K56+1)</f>
        <v>71</v>
      </c>
      <c r="O56" s="39" t="n">
        <f aca="true">IF($A56="","",IF(OR($I56="Completed",$I56="Cancelled"),0,$L56-TODAY()))</f>
        <v>-26</v>
      </c>
      <c r="P56" s="3" t="s">
        <v>319</v>
      </c>
      <c r="Q56" s="3" t="s">
        <v>175</v>
      </c>
      <c r="S56" s="3" t="n">
        <f aca="false">IF($A56="","",IF(AND($O56&lt;0,$I56&lt;&gt;"Completed",$I56&lt;&gt;"Cancelled"),1,0))</f>
        <v>1</v>
      </c>
      <c r="T56" s="0" t="str">
        <f aca="false">IF($A56="","",IF($I56="Completed",ROW(),""))</f>
        <v/>
      </c>
      <c r="U56" s="0" t="str">
        <f aca="false">IF($A56="","",IF(OR($I56="Not Started",$I56="Planning",$I56="Blocked"),ROW(),""))</f>
        <v/>
      </c>
    </row>
    <row r="57" customFormat="false" ht="15" hidden="false" customHeight="false" outlineLevel="0" collapsed="false">
      <c r="A57" s="0" t="s">
        <v>320</v>
      </c>
      <c r="B57" s="3" t="s">
        <v>315</v>
      </c>
      <c r="C57" s="0" t="s">
        <v>316</v>
      </c>
      <c r="D57" s="0" t="s">
        <v>321</v>
      </c>
      <c r="E57" s="0" t="s">
        <v>322</v>
      </c>
      <c r="F57" s="3" t="s">
        <v>175</v>
      </c>
      <c r="G57" s="3" t="s">
        <v>176</v>
      </c>
      <c r="H57" s="3" t="s">
        <v>149</v>
      </c>
      <c r="I57" s="3" t="s">
        <v>157</v>
      </c>
      <c r="J57" s="37" t="n">
        <f aca="false">IF($A57="","",IFERROR(INDEX(Lists!$B$2:$B$10,MATCH($I57,Lists!$A$2:$A$10,0)),""))</f>
        <v>0.55</v>
      </c>
      <c r="K57" s="38" t="n">
        <v>46204</v>
      </c>
      <c r="L57" s="38" t="n">
        <v>46274</v>
      </c>
      <c r="M57" s="38"/>
      <c r="N57" s="3" t="n">
        <f aca="false">IF($A57="","",$L57-$K57+1)</f>
        <v>71</v>
      </c>
      <c r="O57" s="39" t="n">
        <f aca="true">IF($A57="","",IF(OR($I57="Completed",$I57="Cancelled"),0,$L57-TODAY()))</f>
        <v>45</v>
      </c>
      <c r="P57" s="3" t="s">
        <v>314</v>
      </c>
      <c r="Q57" s="3" t="s">
        <v>175</v>
      </c>
      <c r="S57" s="3" t="n">
        <f aca="false">IF($A57="","",IF(AND($O57&lt;0,$I57&lt;&gt;"Completed",$I57&lt;&gt;"Cancelled"),1,0))</f>
        <v>0</v>
      </c>
      <c r="T57" s="0" t="str">
        <f aca="false">IF($A57="","",IF($I57="Completed",ROW(),""))</f>
        <v/>
      </c>
      <c r="U57" s="0" t="str">
        <f aca="false">IF($A57="","",IF(OR($I57="Not Started",$I57="Planning",$I57="Blocked"),ROW(),""))</f>
        <v/>
      </c>
    </row>
    <row r="58" customFormat="false" ht="15" hidden="false" customHeight="false" outlineLevel="0" collapsed="false">
      <c r="A58" s="0" t="s">
        <v>323</v>
      </c>
      <c r="B58" s="3" t="s">
        <v>315</v>
      </c>
      <c r="C58" s="0" t="s">
        <v>316</v>
      </c>
      <c r="D58" s="0" t="s">
        <v>324</v>
      </c>
      <c r="E58" s="0" t="s">
        <v>325</v>
      </c>
      <c r="F58" s="3" t="s">
        <v>175</v>
      </c>
      <c r="G58" s="3" t="s">
        <v>176</v>
      </c>
      <c r="H58" s="3" t="s">
        <v>149</v>
      </c>
      <c r="I58" s="3" t="s">
        <v>219</v>
      </c>
      <c r="J58" s="37" t="n">
        <f aca="false">IF($A58="","",IFERROR(INDEX(Lists!$B$2:$B$10,MATCH($I58,Lists!$A$2:$A$10,0)),""))</f>
        <v>0.15</v>
      </c>
      <c r="K58" s="38" t="n">
        <v>46275</v>
      </c>
      <c r="L58" s="38" t="n">
        <v>46345</v>
      </c>
      <c r="M58" s="38"/>
      <c r="N58" s="3" t="n">
        <f aca="false">IF($A58="","",$L58-$K58+1)</f>
        <v>71</v>
      </c>
      <c r="O58" s="39" t="n">
        <f aca="true">IF($A58="","",IF(OR($I58="Completed",$I58="Cancelled"),0,$L58-TODAY()))</f>
        <v>116</v>
      </c>
      <c r="P58" s="3" t="s">
        <v>320</v>
      </c>
      <c r="Q58" s="3" t="s">
        <v>175</v>
      </c>
      <c r="S58" s="3" t="n">
        <f aca="false">IF($A58="","",IF(AND($O58&lt;0,$I58&lt;&gt;"Completed",$I58&lt;&gt;"Cancelled"),1,0))</f>
        <v>0</v>
      </c>
      <c r="T58" s="0" t="str">
        <f aca="false">IF($A58="","",IF($I58="Completed",ROW(),""))</f>
        <v/>
      </c>
      <c r="U58" s="3" t="n">
        <f aca="false">IF($A58="","",IF(OR($I58="Not Started",$I58="Planning",$I58="Blocked"),ROW(),""))</f>
        <v>58</v>
      </c>
    </row>
    <row r="59" customFormat="false" ht="15" hidden="false" customHeight="false" outlineLevel="0" collapsed="false">
      <c r="A59" s="0" t="s">
        <v>319</v>
      </c>
      <c r="B59" s="3" t="s">
        <v>326</v>
      </c>
      <c r="C59" s="0" t="s">
        <v>327</v>
      </c>
      <c r="D59" s="0" t="s">
        <v>328</v>
      </c>
      <c r="E59" s="0" t="s">
        <v>329</v>
      </c>
      <c r="F59" s="3" t="s">
        <v>175</v>
      </c>
      <c r="G59" s="3" t="s">
        <v>188</v>
      </c>
      <c r="H59" s="3" t="s">
        <v>149</v>
      </c>
      <c r="I59" s="3" t="s">
        <v>150</v>
      </c>
      <c r="J59" s="37" t="n">
        <f aca="false">IF($A59="","",IFERROR(INDEX(Lists!$B$2:$B$10,MATCH($I59,Lists!$A$2:$A$10,0)),""))</f>
        <v>0.75</v>
      </c>
      <c r="K59" s="38" t="n">
        <v>46103</v>
      </c>
      <c r="L59" s="38" t="n">
        <v>46168</v>
      </c>
      <c r="M59" s="38"/>
      <c r="N59" s="3" t="n">
        <f aca="false">IF($A59="","",$L59-$K59+1)</f>
        <v>66</v>
      </c>
      <c r="O59" s="39" t="n">
        <f aca="true">IF($A59="","",IF(OR($I59="Completed",$I59="Cancelled"),0,$L59-TODAY()))</f>
        <v>-61</v>
      </c>
      <c r="P59" s="3" t="s">
        <v>102</v>
      </c>
      <c r="Q59" s="3" t="s">
        <v>175</v>
      </c>
      <c r="S59" s="3" t="n">
        <f aca="false">IF($A59="","",IF(AND($O59&lt;0,$I59&lt;&gt;"Completed",$I59&lt;&gt;"Cancelled"),1,0))</f>
        <v>1</v>
      </c>
      <c r="T59" s="0" t="str">
        <f aca="false">IF($A59="","",IF($I59="Completed",ROW(),""))</f>
        <v/>
      </c>
      <c r="U59" s="0" t="str">
        <f aca="false">IF($A59="","",IF(OR($I59="Not Started",$I59="Planning",$I59="Blocked"),ROW(),""))</f>
        <v/>
      </c>
    </row>
    <row r="60" customFormat="false" ht="15" hidden="false" customHeight="false" outlineLevel="0" collapsed="false">
      <c r="A60" s="0" t="s">
        <v>330</v>
      </c>
      <c r="B60" s="3" t="s">
        <v>326</v>
      </c>
      <c r="C60" s="0" t="s">
        <v>327</v>
      </c>
      <c r="D60" s="0" t="s">
        <v>331</v>
      </c>
      <c r="E60" s="0" t="s">
        <v>332</v>
      </c>
      <c r="F60" s="3" t="s">
        <v>175</v>
      </c>
      <c r="G60" s="3" t="s">
        <v>188</v>
      </c>
      <c r="H60" s="3" t="s">
        <v>149</v>
      </c>
      <c r="I60" s="3" t="s">
        <v>157</v>
      </c>
      <c r="J60" s="37" t="n">
        <f aca="false">IF($A60="","",IFERROR(INDEX(Lists!$B$2:$B$10,MATCH($I60,Lists!$A$2:$A$10,0)),""))</f>
        <v>0.55</v>
      </c>
      <c r="K60" s="38" t="n">
        <v>46169</v>
      </c>
      <c r="L60" s="38" t="n">
        <v>46234</v>
      </c>
      <c r="M60" s="38"/>
      <c r="N60" s="3" t="n">
        <f aca="false">IF($A60="","",$L60-$K60+1)</f>
        <v>66</v>
      </c>
      <c r="O60" s="39" t="n">
        <f aca="true">IF($A60="","",IF(OR($I60="Completed",$I60="Cancelled"),0,$L60-TODAY()))</f>
        <v>5</v>
      </c>
      <c r="P60" s="3" t="s">
        <v>319</v>
      </c>
      <c r="Q60" s="3" t="s">
        <v>175</v>
      </c>
      <c r="S60" s="3" t="n">
        <f aca="false">IF($A60="","",IF(AND($O60&lt;0,$I60&lt;&gt;"Completed",$I60&lt;&gt;"Cancelled"),1,0))</f>
        <v>0</v>
      </c>
      <c r="T60" s="0" t="str">
        <f aca="false">IF($A60="","",IF($I60="Completed",ROW(),""))</f>
        <v/>
      </c>
      <c r="U60" s="0" t="str">
        <f aca="false">IF($A60="","",IF(OR($I60="Not Started",$I60="Planning",$I60="Blocked"),ROW(),""))</f>
        <v/>
      </c>
    </row>
    <row r="61" customFormat="false" ht="15" hidden="false" customHeight="false" outlineLevel="0" collapsed="false">
      <c r="A61" s="0" t="s">
        <v>333</v>
      </c>
      <c r="B61" s="3" t="s">
        <v>326</v>
      </c>
      <c r="C61" s="0" t="s">
        <v>327</v>
      </c>
      <c r="D61" s="0" t="s">
        <v>334</v>
      </c>
      <c r="E61" s="0" t="s">
        <v>335</v>
      </c>
      <c r="F61" s="3" t="s">
        <v>175</v>
      </c>
      <c r="G61" s="3" t="s">
        <v>188</v>
      </c>
      <c r="H61" s="3" t="s">
        <v>149</v>
      </c>
      <c r="I61" s="3" t="s">
        <v>121</v>
      </c>
      <c r="J61" s="37" t="n">
        <f aca="false">IF($A61="","",IFERROR(INDEX(Lists!$B$2:$B$10,MATCH($I61,Lists!$A$2:$A$10,0)),""))</f>
        <v>0.3</v>
      </c>
      <c r="K61" s="38" t="n">
        <v>46235</v>
      </c>
      <c r="L61" s="38" t="n">
        <v>46300</v>
      </c>
      <c r="M61" s="38"/>
      <c r="N61" s="3" t="n">
        <f aca="false">IF($A61="","",$L61-$K61+1)</f>
        <v>66</v>
      </c>
      <c r="O61" s="39" t="n">
        <f aca="true">IF($A61="","",IF(OR($I61="Completed",$I61="Cancelled"),0,$L61-TODAY()))</f>
        <v>71</v>
      </c>
      <c r="P61" s="3" t="s">
        <v>330</v>
      </c>
      <c r="Q61" s="3" t="s">
        <v>175</v>
      </c>
      <c r="S61" s="3" t="n">
        <f aca="false">IF($A61="","",IF(AND($O61&lt;0,$I61&lt;&gt;"Completed",$I61&lt;&gt;"Cancelled"),1,0))</f>
        <v>0</v>
      </c>
      <c r="T61" s="0" t="str">
        <f aca="false">IF($A61="","",IF($I61="Completed",ROW(),""))</f>
        <v/>
      </c>
      <c r="U61" s="0" t="str">
        <f aca="false">IF($A61="","",IF(OR($I61="Not Started",$I61="Planning",$I61="Blocked"),ROW(),""))</f>
        <v/>
      </c>
    </row>
    <row r="62" customFormat="false" ht="15" hidden="false" customHeight="false" outlineLevel="0" collapsed="false">
      <c r="A62" s="0" t="s">
        <v>336</v>
      </c>
      <c r="B62" s="3" t="s">
        <v>337</v>
      </c>
      <c r="C62" s="0" t="s">
        <v>338</v>
      </c>
      <c r="D62" s="0" t="s">
        <v>339</v>
      </c>
      <c r="E62" s="0" t="s">
        <v>340</v>
      </c>
      <c r="F62" s="3" t="s">
        <v>175</v>
      </c>
      <c r="G62" s="3" t="s">
        <v>341</v>
      </c>
      <c r="H62" s="3" t="s">
        <v>342</v>
      </c>
      <c r="I62" s="3" t="s">
        <v>157</v>
      </c>
      <c r="J62" s="37" t="n">
        <f aca="false">IF($A62="","",IFERROR(INDEX(Lists!$B$2:$B$10,MATCH($I62,Lists!$A$2:$A$10,0)),""))</f>
        <v>0.55</v>
      </c>
      <c r="K62" s="38" t="n">
        <v>46103</v>
      </c>
      <c r="L62" s="38" t="n">
        <v>46173</v>
      </c>
      <c r="M62" s="38"/>
      <c r="N62" s="3" t="n">
        <f aca="false">IF($A62="","",$L62-$K62+1)</f>
        <v>71</v>
      </c>
      <c r="O62" s="39" t="n">
        <f aca="true">IF($A62="","",IF(OR($I62="Completed",$I62="Cancelled"),0,$L62-TODAY()))</f>
        <v>-56</v>
      </c>
      <c r="P62" s="3" t="s">
        <v>85</v>
      </c>
      <c r="Q62" s="3" t="s">
        <v>175</v>
      </c>
      <c r="R62" s="3" t="s">
        <v>343</v>
      </c>
      <c r="S62" s="3" t="n">
        <f aca="false">IF($A62="","",IF(AND($O62&lt;0,$I62&lt;&gt;"Completed",$I62&lt;&gt;"Cancelled"),1,0))</f>
        <v>1</v>
      </c>
      <c r="T62" s="0" t="str">
        <f aca="false">IF($A62="","",IF($I62="Completed",ROW(),""))</f>
        <v/>
      </c>
      <c r="U62" s="0" t="str">
        <f aca="false">IF($A62="","",IF(OR($I62="Not Started",$I62="Planning",$I62="Blocked"),ROW(),""))</f>
        <v/>
      </c>
    </row>
    <row r="63" customFormat="false" ht="15" hidden="false" customHeight="false" outlineLevel="0" collapsed="false">
      <c r="A63" s="0" t="s">
        <v>344</v>
      </c>
      <c r="B63" s="3" t="s">
        <v>337</v>
      </c>
      <c r="C63" s="0" t="s">
        <v>338</v>
      </c>
      <c r="D63" s="0" t="s">
        <v>345</v>
      </c>
      <c r="E63" s="0" t="s">
        <v>346</v>
      </c>
      <c r="F63" s="3" t="s">
        <v>175</v>
      </c>
      <c r="G63" s="3" t="s">
        <v>341</v>
      </c>
      <c r="H63" s="3" t="s">
        <v>342</v>
      </c>
      <c r="I63" s="3" t="s">
        <v>157</v>
      </c>
      <c r="J63" s="37" t="n">
        <f aca="false">IF($A63="","",IFERROR(INDEX(Lists!$B$2:$B$10,MATCH($I63,Lists!$A$2:$A$10,0)),""))</f>
        <v>0.55</v>
      </c>
      <c r="K63" s="38" t="n">
        <v>46174</v>
      </c>
      <c r="L63" s="38" t="n">
        <v>46244</v>
      </c>
      <c r="M63" s="38"/>
      <c r="N63" s="3" t="n">
        <f aca="false">IF($A63="","",$L63-$K63+1)</f>
        <v>71</v>
      </c>
      <c r="O63" s="39" t="n">
        <f aca="true">IF($A63="","",IF(OR($I63="Completed",$I63="Cancelled"),0,$L63-TODAY()))</f>
        <v>15</v>
      </c>
      <c r="P63" s="3" t="s">
        <v>336</v>
      </c>
      <c r="Q63" s="3" t="s">
        <v>175</v>
      </c>
      <c r="S63" s="3" t="n">
        <f aca="false">IF($A63="","",IF(AND($O63&lt;0,$I63&lt;&gt;"Completed",$I63&lt;&gt;"Cancelled"),1,0))</f>
        <v>0</v>
      </c>
      <c r="T63" s="0" t="str">
        <f aca="false">IF($A63="","",IF($I63="Completed",ROW(),""))</f>
        <v/>
      </c>
      <c r="U63" s="0" t="str">
        <f aca="false">IF($A63="","",IF(OR($I63="Not Started",$I63="Planning",$I63="Blocked"),ROW(),""))</f>
        <v/>
      </c>
    </row>
    <row r="64" customFormat="false" ht="15" hidden="false" customHeight="false" outlineLevel="0" collapsed="false">
      <c r="A64" s="0" t="s">
        <v>347</v>
      </c>
      <c r="B64" s="3" t="s">
        <v>337</v>
      </c>
      <c r="C64" s="0" t="s">
        <v>338</v>
      </c>
      <c r="D64" s="0" t="s">
        <v>348</v>
      </c>
      <c r="E64" s="0" t="s">
        <v>349</v>
      </c>
      <c r="F64" s="3" t="s">
        <v>175</v>
      </c>
      <c r="G64" s="3" t="s">
        <v>341</v>
      </c>
      <c r="H64" s="3" t="s">
        <v>342</v>
      </c>
      <c r="I64" s="3" t="s">
        <v>121</v>
      </c>
      <c r="J64" s="37" t="n">
        <f aca="false">IF($A64="","",IFERROR(INDEX(Lists!$B$2:$B$10,MATCH($I64,Lists!$A$2:$A$10,0)),""))</f>
        <v>0.3</v>
      </c>
      <c r="K64" s="38" t="n">
        <v>46245</v>
      </c>
      <c r="L64" s="38" t="n">
        <v>46315</v>
      </c>
      <c r="M64" s="38"/>
      <c r="N64" s="3" t="n">
        <f aca="false">IF($A64="","",$L64-$K64+1)</f>
        <v>71</v>
      </c>
      <c r="O64" s="39" t="n">
        <f aca="true">IF($A64="","",IF(OR($I64="Completed",$I64="Cancelled"),0,$L64-TODAY()))</f>
        <v>86</v>
      </c>
      <c r="P64" s="3" t="s">
        <v>344</v>
      </c>
      <c r="Q64" s="3" t="s">
        <v>175</v>
      </c>
      <c r="S64" s="3" t="n">
        <f aca="false">IF($A64="","",IF(AND($O64&lt;0,$I64&lt;&gt;"Completed",$I64&lt;&gt;"Cancelled"),1,0))</f>
        <v>0</v>
      </c>
      <c r="T64" s="0" t="str">
        <f aca="false">IF($A64="","",IF($I64="Completed",ROW(),""))</f>
        <v/>
      </c>
      <c r="U64" s="0" t="str">
        <f aca="false">IF($A64="","",IF(OR($I64="Not Started",$I64="Planning",$I64="Blocked"),ROW(),""))</f>
        <v/>
      </c>
    </row>
    <row r="65" customFormat="false" ht="15" hidden="false" customHeight="false" outlineLevel="0" collapsed="false">
      <c r="A65" s="0" t="s">
        <v>350</v>
      </c>
      <c r="B65" s="3" t="s">
        <v>351</v>
      </c>
      <c r="C65" s="0" t="s">
        <v>352</v>
      </c>
      <c r="D65" s="0" t="s">
        <v>353</v>
      </c>
      <c r="E65" s="0" t="s">
        <v>354</v>
      </c>
      <c r="F65" s="3" t="s">
        <v>201</v>
      </c>
      <c r="G65" s="3" t="s">
        <v>355</v>
      </c>
      <c r="H65" s="3" t="s">
        <v>351</v>
      </c>
      <c r="I65" s="3" t="s">
        <v>157</v>
      </c>
      <c r="J65" s="37" t="n">
        <f aca="false">IF($A65="","",IFERROR(INDEX(Lists!$B$2:$B$10,MATCH($I65,Lists!$A$2:$A$10,0)),""))</f>
        <v>0.55</v>
      </c>
      <c r="K65" s="38" t="n">
        <v>46179</v>
      </c>
      <c r="L65" s="38" t="n">
        <v>46229</v>
      </c>
      <c r="M65" s="38"/>
      <c r="N65" s="3" t="n">
        <f aca="false">IF($A65="","",$L65-$K65+1)</f>
        <v>51</v>
      </c>
      <c r="O65" s="39" t="n">
        <f aca="true">IF($A65="","",IF(OR($I65="Completed",$I65="Cancelled"),0,$L65-TODAY()))</f>
        <v>0</v>
      </c>
      <c r="P65" s="3" t="s">
        <v>170</v>
      </c>
      <c r="Q65" s="3" t="s">
        <v>201</v>
      </c>
      <c r="S65" s="3" t="n">
        <f aca="false">IF($A65="","",IF(AND($O65&lt;0,$I65&lt;&gt;"Completed",$I65&lt;&gt;"Cancelled"),1,0))</f>
        <v>0</v>
      </c>
      <c r="T65" s="0" t="str">
        <f aca="false">IF($A65="","",IF($I65="Completed",ROW(),""))</f>
        <v/>
      </c>
      <c r="U65" s="0" t="str">
        <f aca="false">IF($A65="","",IF(OR($I65="Not Started",$I65="Planning",$I65="Blocked"),ROW(),""))</f>
        <v/>
      </c>
    </row>
    <row r="66" customFormat="false" ht="15" hidden="false" customHeight="false" outlineLevel="0" collapsed="false">
      <c r="A66" s="0" t="s">
        <v>356</v>
      </c>
      <c r="B66" s="3" t="s">
        <v>351</v>
      </c>
      <c r="C66" s="0" t="s">
        <v>352</v>
      </c>
      <c r="D66" s="0" t="s">
        <v>357</v>
      </c>
      <c r="E66" s="0" t="s">
        <v>358</v>
      </c>
      <c r="F66" s="3" t="s">
        <v>175</v>
      </c>
      <c r="G66" s="3" t="s">
        <v>355</v>
      </c>
      <c r="H66" s="3" t="s">
        <v>351</v>
      </c>
      <c r="I66" s="3" t="s">
        <v>121</v>
      </c>
      <c r="J66" s="37" t="n">
        <f aca="false">IF($A66="","",IFERROR(INDEX(Lists!$B$2:$B$10,MATCH($I66,Lists!$A$2:$A$10,0)),""))</f>
        <v>0.3</v>
      </c>
      <c r="K66" s="38" t="n">
        <v>46230</v>
      </c>
      <c r="L66" s="38" t="n">
        <v>46279</v>
      </c>
      <c r="M66" s="38"/>
      <c r="N66" s="3" t="n">
        <f aca="false">IF($A66="","",$L66-$K66+1)</f>
        <v>50</v>
      </c>
      <c r="O66" s="39" t="n">
        <f aca="true">IF($A66="","",IF(OR($I66="Completed",$I66="Cancelled"),0,$L66-TODAY()))</f>
        <v>50</v>
      </c>
      <c r="P66" s="3" t="s">
        <v>350</v>
      </c>
      <c r="Q66" s="3" t="s">
        <v>201</v>
      </c>
      <c r="S66" s="3" t="n">
        <f aca="false">IF($A66="","",IF(AND($O66&lt;0,$I66&lt;&gt;"Completed",$I66&lt;&gt;"Cancelled"),1,0))</f>
        <v>0</v>
      </c>
      <c r="T66" s="0" t="str">
        <f aca="false">IF($A66="","",IF($I66="Completed",ROW(),""))</f>
        <v/>
      </c>
      <c r="U66" s="0" t="str">
        <f aca="false">IF($A66="","",IF(OR($I66="Not Started",$I66="Planning",$I66="Blocked"),ROW(),""))</f>
        <v/>
      </c>
    </row>
    <row r="67" customFormat="false" ht="15" hidden="false" customHeight="false" outlineLevel="0" collapsed="false">
      <c r="A67" s="0" t="s">
        <v>359</v>
      </c>
      <c r="B67" s="3" t="s">
        <v>351</v>
      </c>
      <c r="C67" s="0" t="s">
        <v>352</v>
      </c>
      <c r="D67" s="0" t="s">
        <v>360</v>
      </c>
      <c r="E67" s="0" t="s">
        <v>361</v>
      </c>
      <c r="F67" s="3" t="s">
        <v>175</v>
      </c>
      <c r="G67" s="3" t="s">
        <v>355</v>
      </c>
      <c r="H67" s="3" t="s">
        <v>351</v>
      </c>
      <c r="I67" s="3" t="s">
        <v>233</v>
      </c>
      <c r="J67" s="37" t="n">
        <f aca="false">IF($A67="","",IFERROR(INDEX(Lists!$B$2:$B$10,MATCH($I67,Lists!$A$2:$A$10,0)),""))</f>
        <v>0</v>
      </c>
      <c r="K67" s="38" t="n">
        <v>46280</v>
      </c>
      <c r="L67" s="38" t="n">
        <v>46330</v>
      </c>
      <c r="M67" s="38"/>
      <c r="N67" s="3" t="n">
        <f aca="false">IF($A67="","",$L67-$K67+1)</f>
        <v>51</v>
      </c>
      <c r="O67" s="39" t="n">
        <f aca="true">IF($A67="","",IF(OR($I67="Completed",$I67="Cancelled"),0,$L67-TODAY()))</f>
        <v>101</v>
      </c>
      <c r="P67" s="3" t="s">
        <v>356</v>
      </c>
      <c r="Q67" s="3" t="s">
        <v>201</v>
      </c>
      <c r="S67" s="3" t="n">
        <f aca="false">IF($A67="","",IF(AND($O67&lt;0,$I67&lt;&gt;"Completed",$I67&lt;&gt;"Cancelled"),1,0))</f>
        <v>0</v>
      </c>
      <c r="T67" s="0" t="str">
        <f aca="false">IF($A67="","",IF($I67="Completed",ROW(),""))</f>
        <v/>
      </c>
      <c r="U67" s="3" t="n">
        <f aca="false">IF($A67="","",IF(OR($I67="Not Started",$I67="Planning",$I67="Blocked"),ROW(),""))</f>
        <v>67</v>
      </c>
    </row>
    <row r="68" customFormat="false" ht="15" hidden="false" customHeight="false" outlineLevel="0" collapsed="false">
      <c r="A68" s="0" t="s">
        <v>362</v>
      </c>
      <c r="B68" s="3" t="s">
        <v>150</v>
      </c>
      <c r="C68" s="0" t="s">
        <v>363</v>
      </c>
      <c r="D68" s="0" t="s">
        <v>364</v>
      </c>
      <c r="E68" s="0" t="s">
        <v>365</v>
      </c>
      <c r="F68" s="3" t="s">
        <v>175</v>
      </c>
      <c r="G68" s="3" t="s">
        <v>366</v>
      </c>
      <c r="H68" s="3" t="s">
        <v>367</v>
      </c>
      <c r="I68" s="3" t="s">
        <v>233</v>
      </c>
      <c r="J68" s="37" t="n">
        <f aca="false">IF($A68="","",IFERROR(INDEX(Lists!$B$2:$B$10,MATCH($I68,Lists!$A$2:$A$10,0)),""))</f>
        <v>0</v>
      </c>
      <c r="K68" s="38" t="n">
        <v>46331</v>
      </c>
      <c r="L68" s="38" t="n">
        <v>46355</v>
      </c>
      <c r="M68" s="38"/>
      <c r="N68" s="3" t="n">
        <f aca="false">IF($A68="","",$L68-$K68+1)</f>
        <v>25</v>
      </c>
      <c r="O68" s="39" t="n">
        <f aca="true">IF($A68="","",IF(OR($I68="Completed",$I68="Cancelled"),0,$L68-TODAY()))</f>
        <v>126</v>
      </c>
      <c r="P68" s="3" t="s">
        <v>220</v>
      </c>
      <c r="Q68" s="3" t="s">
        <v>175</v>
      </c>
      <c r="S68" s="3" t="n">
        <f aca="false">IF($A68="","",IF(AND($O68&lt;0,$I68&lt;&gt;"Completed",$I68&lt;&gt;"Cancelled"),1,0))</f>
        <v>0</v>
      </c>
      <c r="T68" s="0" t="str">
        <f aca="false">IF($A68="","",IF($I68="Completed",ROW(),""))</f>
        <v/>
      </c>
      <c r="U68" s="3" t="n">
        <f aca="false">IF($A68="","",IF(OR($I68="Not Started",$I68="Planning",$I68="Blocked"),ROW(),""))</f>
        <v>68</v>
      </c>
    </row>
    <row r="69" customFormat="false" ht="15" hidden="false" customHeight="false" outlineLevel="0" collapsed="false">
      <c r="A69" s="0" t="s">
        <v>368</v>
      </c>
      <c r="B69" s="3" t="s">
        <v>150</v>
      </c>
      <c r="C69" s="0" t="s">
        <v>363</v>
      </c>
      <c r="D69" s="0" t="s">
        <v>369</v>
      </c>
      <c r="E69" s="0" t="s">
        <v>370</v>
      </c>
      <c r="F69" s="3" t="s">
        <v>175</v>
      </c>
      <c r="G69" s="3" t="s">
        <v>366</v>
      </c>
      <c r="H69" s="3" t="s">
        <v>367</v>
      </c>
      <c r="I69" s="3" t="s">
        <v>233</v>
      </c>
      <c r="J69" s="37" t="n">
        <f aca="false">IF($A69="","",IFERROR(INDEX(Lists!$B$2:$B$10,MATCH($I69,Lists!$A$2:$A$10,0)),""))</f>
        <v>0</v>
      </c>
      <c r="K69" s="38" t="n">
        <v>46356</v>
      </c>
      <c r="L69" s="38" t="n">
        <v>46381</v>
      </c>
      <c r="M69" s="38"/>
      <c r="N69" s="3" t="n">
        <f aca="false">IF($A69="","",$L69-$K69+1)</f>
        <v>26</v>
      </c>
      <c r="O69" s="39" t="n">
        <f aca="true">IF($A69="","",IF(OR($I69="Completed",$I69="Cancelled"),0,$L69-TODAY()))</f>
        <v>152</v>
      </c>
      <c r="P69" s="3" t="s">
        <v>362</v>
      </c>
      <c r="Q69" s="3" t="s">
        <v>175</v>
      </c>
      <c r="S69" s="3" t="n">
        <f aca="false">IF($A69="","",IF(AND($O69&lt;0,$I69&lt;&gt;"Completed",$I69&lt;&gt;"Cancelled"),1,0))</f>
        <v>0</v>
      </c>
      <c r="T69" s="0" t="str">
        <f aca="false">IF($A69="","",IF($I69="Completed",ROW(),""))</f>
        <v/>
      </c>
      <c r="U69" s="3" t="n">
        <f aca="false">IF($A69="","",IF(OR($I69="Not Started",$I69="Planning",$I69="Blocked"),ROW(),""))</f>
        <v>69</v>
      </c>
    </row>
    <row r="70" customFormat="false" ht="15" hidden="false" customHeight="false" outlineLevel="0" collapsed="false">
      <c r="A70" s="0" t="s">
        <v>371</v>
      </c>
      <c r="B70" s="3" t="s">
        <v>150</v>
      </c>
      <c r="C70" s="0" t="s">
        <v>363</v>
      </c>
      <c r="D70" s="0" t="s">
        <v>372</v>
      </c>
      <c r="E70" s="0" t="s">
        <v>373</v>
      </c>
      <c r="F70" s="3" t="s">
        <v>175</v>
      </c>
      <c r="G70" s="3" t="s">
        <v>366</v>
      </c>
      <c r="H70" s="3" t="s">
        <v>367</v>
      </c>
      <c r="I70" s="3" t="s">
        <v>233</v>
      </c>
      <c r="J70" s="37" t="n">
        <f aca="false">IF($A70="","",IFERROR(INDEX(Lists!$B$2:$B$10,MATCH($I70,Lists!$A$2:$A$10,0)),""))</f>
        <v>0</v>
      </c>
      <c r="K70" s="38" t="n">
        <v>46382</v>
      </c>
      <c r="L70" s="38" t="n">
        <v>46406</v>
      </c>
      <c r="M70" s="38"/>
      <c r="N70" s="3" t="n">
        <f aca="false">IF($A70="","",$L70-$K70+1)</f>
        <v>25</v>
      </c>
      <c r="O70" s="39" t="n">
        <f aca="true">IF($A70="","",IF(OR($I70="Completed",$I70="Cancelled"),0,$L70-TODAY()))</f>
        <v>177</v>
      </c>
      <c r="P70" s="3" t="s">
        <v>368</v>
      </c>
      <c r="Q70" s="3" t="s">
        <v>175</v>
      </c>
      <c r="S70" s="3" t="n">
        <f aca="false">IF($A70="","",IF(AND($O70&lt;0,$I70&lt;&gt;"Completed",$I70&lt;&gt;"Cancelled"),1,0))</f>
        <v>0</v>
      </c>
      <c r="T70" s="0" t="str">
        <f aca="false">IF($A70="","",IF($I70="Completed",ROW(),""))</f>
        <v/>
      </c>
      <c r="U70" s="3" t="n">
        <f aca="false">IF($A70="","",IF(OR($I70="Not Started",$I70="Planning",$I70="Blocked"),ROW(),""))</f>
        <v>70</v>
      </c>
    </row>
    <row r="71" customFormat="false" ht="15" hidden="false" customHeight="false" outlineLevel="0" collapsed="false">
      <c r="A71" s="0" t="s">
        <v>374</v>
      </c>
      <c r="B71" s="3" t="s">
        <v>375</v>
      </c>
      <c r="C71" s="0" t="s">
        <v>376</v>
      </c>
      <c r="D71" s="0" t="s">
        <v>377</v>
      </c>
      <c r="E71" s="0" t="s">
        <v>378</v>
      </c>
      <c r="F71" s="3" t="s">
        <v>97</v>
      </c>
      <c r="G71" s="3" t="s">
        <v>366</v>
      </c>
      <c r="H71" s="3" t="s">
        <v>367</v>
      </c>
      <c r="I71" s="3" t="s">
        <v>233</v>
      </c>
      <c r="J71" s="37" t="n">
        <f aca="false">IF($A71="","",IFERROR(INDEX(Lists!$B$2:$B$10,MATCH($I71,Lists!$A$2:$A$10,0)),""))</f>
        <v>0</v>
      </c>
      <c r="K71" s="38" t="n">
        <v>46346</v>
      </c>
      <c r="L71" s="38" t="n">
        <v>46365</v>
      </c>
      <c r="M71" s="38"/>
      <c r="N71" s="3" t="n">
        <f aca="false">IF($A71="","",$L71-$K71+1)</f>
        <v>20</v>
      </c>
      <c r="O71" s="39" t="n">
        <f aca="true">IF($A71="","",IF(OR($I71="Completed",$I71="Cancelled"),0,$L71-TODAY()))</f>
        <v>136</v>
      </c>
      <c r="P71" s="3" t="s">
        <v>362</v>
      </c>
      <c r="Q71" s="3" t="s">
        <v>97</v>
      </c>
      <c r="S71" s="3" t="n">
        <f aca="false">IF($A71="","",IF(AND($O71&lt;0,$I71&lt;&gt;"Completed",$I71&lt;&gt;"Cancelled"),1,0))</f>
        <v>0</v>
      </c>
      <c r="T71" s="0" t="str">
        <f aca="false">IF($A71="","",IF($I71="Completed",ROW(),""))</f>
        <v/>
      </c>
      <c r="U71" s="3" t="n">
        <f aca="false">IF($A71="","",IF(OR($I71="Not Started",$I71="Planning",$I71="Blocked"),ROW(),""))</f>
        <v>71</v>
      </c>
    </row>
    <row r="72" customFormat="false" ht="15" hidden="false" customHeight="false" outlineLevel="0" collapsed="false">
      <c r="A72" s="0" t="s">
        <v>379</v>
      </c>
      <c r="B72" s="3" t="s">
        <v>375</v>
      </c>
      <c r="C72" s="0" t="s">
        <v>376</v>
      </c>
      <c r="D72" s="0" t="s">
        <v>380</v>
      </c>
      <c r="E72" s="0" t="s">
        <v>381</v>
      </c>
      <c r="F72" s="3" t="s">
        <v>97</v>
      </c>
      <c r="G72" s="3" t="s">
        <v>366</v>
      </c>
      <c r="H72" s="3" t="s">
        <v>367</v>
      </c>
      <c r="I72" s="3" t="s">
        <v>233</v>
      </c>
      <c r="J72" s="37" t="n">
        <f aca="false">IF($A72="","",IFERROR(INDEX(Lists!$B$2:$B$10,MATCH($I72,Lists!$A$2:$A$10,0)),""))</f>
        <v>0</v>
      </c>
      <c r="K72" s="38" t="n">
        <v>46366</v>
      </c>
      <c r="L72" s="38" t="n">
        <v>46386</v>
      </c>
      <c r="M72" s="38"/>
      <c r="N72" s="3" t="n">
        <f aca="false">IF($A72="","",$L72-$K72+1)</f>
        <v>21</v>
      </c>
      <c r="O72" s="39" t="n">
        <f aca="true">IF($A72="","",IF(OR($I72="Completed",$I72="Cancelled"),0,$L72-TODAY()))</f>
        <v>157</v>
      </c>
      <c r="P72" s="3" t="s">
        <v>374</v>
      </c>
      <c r="Q72" s="3" t="s">
        <v>97</v>
      </c>
      <c r="S72" s="3" t="n">
        <f aca="false">IF($A72="","",IF(AND($O72&lt;0,$I72&lt;&gt;"Completed",$I72&lt;&gt;"Cancelled"),1,0))</f>
        <v>0</v>
      </c>
      <c r="T72" s="0" t="str">
        <f aca="false">IF($A72="","",IF($I72="Completed",ROW(),""))</f>
        <v/>
      </c>
      <c r="U72" s="3" t="n">
        <f aca="false">IF($A72="","",IF(OR($I72="Not Started",$I72="Planning",$I72="Blocked"),ROW(),""))</f>
        <v>72</v>
      </c>
    </row>
    <row r="73" customFormat="false" ht="15" hidden="false" customHeight="false" outlineLevel="0" collapsed="false">
      <c r="A73" s="0" t="s">
        <v>382</v>
      </c>
      <c r="B73" s="3" t="s">
        <v>375</v>
      </c>
      <c r="C73" s="0" t="s">
        <v>376</v>
      </c>
      <c r="D73" s="0" t="s">
        <v>383</v>
      </c>
      <c r="E73" s="0" t="s">
        <v>384</v>
      </c>
      <c r="F73" s="3" t="s">
        <v>97</v>
      </c>
      <c r="G73" s="3" t="s">
        <v>366</v>
      </c>
      <c r="H73" s="3" t="s">
        <v>367</v>
      </c>
      <c r="I73" s="3" t="s">
        <v>233</v>
      </c>
      <c r="J73" s="37" t="n">
        <f aca="false">IF($A73="","",IFERROR(INDEX(Lists!$B$2:$B$10,MATCH($I73,Lists!$A$2:$A$10,0)),""))</f>
        <v>0</v>
      </c>
      <c r="K73" s="38" t="n">
        <v>46387</v>
      </c>
      <c r="L73" s="38" t="n">
        <v>46406</v>
      </c>
      <c r="M73" s="38"/>
      <c r="N73" s="3" t="n">
        <f aca="false">IF($A73="","",$L73-$K73+1)</f>
        <v>20</v>
      </c>
      <c r="O73" s="39" t="n">
        <f aca="true">IF($A73="","",IF(OR($I73="Completed",$I73="Cancelled"),0,$L73-TODAY()))</f>
        <v>177</v>
      </c>
      <c r="P73" s="3" t="s">
        <v>379</v>
      </c>
      <c r="Q73" s="3" t="s">
        <v>97</v>
      </c>
      <c r="S73" s="3" t="n">
        <f aca="false">IF($A73="","",IF(AND($O73&lt;0,$I73&lt;&gt;"Completed",$I73&lt;&gt;"Cancelled"),1,0))</f>
        <v>0</v>
      </c>
      <c r="T73" s="0" t="str">
        <f aca="false">IF($A73="","",IF($I73="Completed",ROW(),""))</f>
        <v/>
      </c>
      <c r="U73" s="3" t="n">
        <f aca="false">IF($A73="","",IF(OR($I73="Not Started",$I73="Planning",$I73="Blocked"),ROW(),""))</f>
        <v>73</v>
      </c>
    </row>
    <row r="74" customFormat="false" ht="15" hidden="false" customHeight="false" outlineLevel="0" collapsed="false">
      <c r="A74" s="0" t="s">
        <v>385</v>
      </c>
      <c r="B74" s="3" t="s">
        <v>386</v>
      </c>
      <c r="C74" s="0" t="s">
        <v>387</v>
      </c>
      <c r="D74" s="0" t="s">
        <v>388</v>
      </c>
      <c r="E74" s="0" t="s">
        <v>389</v>
      </c>
      <c r="F74" s="3" t="s">
        <v>175</v>
      </c>
      <c r="G74" s="3" t="s">
        <v>341</v>
      </c>
      <c r="H74" s="3" t="s">
        <v>342</v>
      </c>
      <c r="I74" s="3" t="s">
        <v>233</v>
      </c>
      <c r="J74" s="37" t="n">
        <f aca="false">IF($A74="","",IFERROR(INDEX(Lists!$B$2:$B$10,MATCH($I74,Lists!$A$2:$A$10,0)),""))</f>
        <v>0</v>
      </c>
      <c r="K74" s="38" t="n">
        <v>46377</v>
      </c>
      <c r="L74" s="38" t="n">
        <v>46391</v>
      </c>
      <c r="M74" s="38"/>
      <c r="N74" s="3" t="n">
        <f aca="false">IF($A74="","",$L74-$K74+1)</f>
        <v>15</v>
      </c>
      <c r="O74" s="39" t="n">
        <f aca="true">IF($A74="","",IF(OR($I74="Completed",$I74="Cancelled"),0,$L74-TODAY()))</f>
        <v>162</v>
      </c>
      <c r="P74" s="3" t="s">
        <v>362</v>
      </c>
      <c r="Q74" s="3" t="s">
        <v>175</v>
      </c>
      <c r="S74" s="3" t="n">
        <f aca="false">IF($A74="","",IF(AND($O74&lt;0,$I74&lt;&gt;"Completed",$I74&lt;&gt;"Cancelled"),1,0))</f>
        <v>0</v>
      </c>
      <c r="T74" s="0" t="str">
        <f aca="false">IF($A74="","",IF($I74="Completed",ROW(),""))</f>
        <v/>
      </c>
      <c r="U74" s="3" t="n">
        <f aca="false">IF($A74="","",IF(OR($I74="Not Started",$I74="Planning",$I74="Blocked"),ROW(),""))</f>
        <v>74</v>
      </c>
    </row>
    <row r="75" customFormat="false" ht="15" hidden="false" customHeight="false" outlineLevel="0" collapsed="false">
      <c r="A75" s="0" t="s">
        <v>390</v>
      </c>
      <c r="B75" s="3" t="s">
        <v>386</v>
      </c>
      <c r="C75" s="0" t="s">
        <v>387</v>
      </c>
      <c r="D75" s="0" t="s">
        <v>391</v>
      </c>
      <c r="E75" s="0" t="s">
        <v>392</v>
      </c>
      <c r="F75" s="3" t="s">
        <v>175</v>
      </c>
      <c r="G75" s="3" t="s">
        <v>341</v>
      </c>
      <c r="H75" s="3" t="s">
        <v>342</v>
      </c>
      <c r="I75" s="3" t="s">
        <v>233</v>
      </c>
      <c r="J75" s="37" t="n">
        <f aca="false">IF($A75="","",IFERROR(INDEX(Lists!$B$2:$B$10,MATCH($I75,Lists!$A$2:$A$10,0)),""))</f>
        <v>0</v>
      </c>
      <c r="K75" s="38" t="n">
        <v>46392</v>
      </c>
      <c r="L75" s="38" t="n">
        <v>46406</v>
      </c>
      <c r="M75" s="38"/>
      <c r="N75" s="3" t="n">
        <f aca="false">IF($A75="","",$L75-$K75+1)</f>
        <v>15</v>
      </c>
      <c r="O75" s="39" t="n">
        <f aca="true">IF($A75="","",IF(OR($I75="Completed",$I75="Cancelled"),0,$L75-TODAY()))</f>
        <v>177</v>
      </c>
      <c r="P75" s="3" t="s">
        <v>385</v>
      </c>
      <c r="Q75" s="3" t="s">
        <v>175</v>
      </c>
      <c r="S75" s="3" t="n">
        <f aca="false">IF($A75="","",IF(AND($O75&lt;0,$I75&lt;&gt;"Completed",$I75&lt;&gt;"Cancelled"),1,0))</f>
        <v>0</v>
      </c>
      <c r="T75" s="0" t="str">
        <f aca="false">IF($A75="","",IF($I75="Completed",ROW(),""))</f>
        <v/>
      </c>
      <c r="U75" s="3" t="n">
        <f aca="false">IF($A75="","",IF(OR($I75="Not Started",$I75="Planning",$I75="Blocked"),ROW(),""))</f>
        <v>75</v>
      </c>
    </row>
    <row r="76" customFormat="false" ht="15" hidden="false" customHeight="false" outlineLevel="0" collapsed="false">
      <c r="A76" s="0" t="s">
        <v>393</v>
      </c>
      <c r="B76" s="3" t="s">
        <v>386</v>
      </c>
      <c r="C76" s="0" t="s">
        <v>387</v>
      </c>
      <c r="D76" s="0" t="s">
        <v>394</v>
      </c>
      <c r="E76" s="0" t="s">
        <v>395</v>
      </c>
      <c r="F76" s="3" t="s">
        <v>175</v>
      </c>
      <c r="G76" s="3" t="s">
        <v>341</v>
      </c>
      <c r="H76" s="3" t="s">
        <v>342</v>
      </c>
      <c r="I76" s="3" t="s">
        <v>233</v>
      </c>
      <c r="J76" s="37" t="n">
        <f aca="false">IF($A76="","",IFERROR(INDEX(Lists!$B$2:$B$10,MATCH($I76,Lists!$A$2:$A$10,0)),""))</f>
        <v>0</v>
      </c>
      <c r="K76" s="38" t="n">
        <v>46407</v>
      </c>
      <c r="L76" s="38" t="n">
        <v>46421</v>
      </c>
      <c r="M76" s="38"/>
      <c r="N76" s="3" t="n">
        <f aca="false">IF($A76="","",$L76-$K76+1)</f>
        <v>15</v>
      </c>
      <c r="O76" s="39" t="n">
        <f aca="true">IF($A76="","",IF(OR($I76="Completed",$I76="Cancelled"),0,$L76-TODAY()))</f>
        <v>192</v>
      </c>
      <c r="P76" s="3" t="s">
        <v>390</v>
      </c>
      <c r="Q76" s="3" t="s">
        <v>175</v>
      </c>
      <c r="S76" s="3" t="n">
        <f aca="false">IF($A76="","",IF(AND($O76&lt;0,$I76&lt;&gt;"Completed",$I76&lt;&gt;"Cancelled"),1,0))</f>
        <v>0</v>
      </c>
      <c r="T76" s="0" t="str">
        <f aca="false">IF($A76="","",IF($I76="Completed",ROW(),""))</f>
        <v/>
      </c>
      <c r="U76" s="3" t="n">
        <f aca="false">IF($A76="","",IF(OR($I76="Not Started",$I76="Planning",$I76="Blocked"),ROW(),""))</f>
        <v>76</v>
      </c>
    </row>
    <row r="77" customFormat="false" ht="15" hidden="false" customHeight="false" outlineLevel="0" collapsed="false">
      <c r="A77" s="0" t="s">
        <v>396</v>
      </c>
      <c r="B77" s="3" t="s">
        <v>397</v>
      </c>
      <c r="C77" s="0" t="s">
        <v>398</v>
      </c>
      <c r="D77" s="0" t="s">
        <v>399</v>
      </c>
      <c r="E77" s="0" t="s">
        <v>400</v>
      </c>
      <c r="F77" s="3" t="s">
        <v>90</v>
      </c>
      <c r="G77" s="3" t="s">
        <v>91</v>
      </c>
      <c r="H77" s="3" t="s">
        <v>92</v>
      </c>
      <c r="I77" s="3" t="s">
        <v>233</v>
      </c>
      <c r="J77" s="37" t="n">
        <f aca="false">IF($A77="","",IFERROR(INDEX(Lists!$B$2:$B$10,MATCH($I77,Lists!$A$2:$A$10,0)),""))</f>
        <v>0</v>
      </c>
      <c r="K77" s="38" t="n">
        <v>46331</v>
      </c>
      <c r="L77" s="38" t="n">
        <v>46360</v>
      </c>
      <c r="M77" s="38"/>
      <c r="N77" s="3" t="n">
        <f aca="false">IF($A77="","",$L77-$K77+1)</f>
        <v>30</v>
      </c>
      <c r="O77" s="39" t="n">
        <f aca="true">IF($A77="","",IF(OR($I77="Completed",$I77="Cancelled"),0,$L77-TODAY()))</f>
        <v>131</v>
      </c>
      <c r="P77" s="3" t="s">
        <v>362</v>
      </c>
      <c r="Q77" s="3" t="s">
        <v>90</v>
      </c>
      <c r="S77" s="3" t="n">
        <f aca="false">IF($A77="","",IF(AND($O77&lt;0,$I77&lt;&gt;"Completed",$I77&lt;&gt;"Cancelled"),1,0))</f>
        <v>0</v>
      </c>
      <c r="T77" s="0" t="str">
        <f aca="false">IF($A77="","",IF($I77="Completed",ROW(),""))</f>
        <v/>
      </c>
      <c r="U77" s="3" t="n">
        <f aca="false">IF($A77="","",IF(OR($I77="Not Started",$I77="Planning",$I77="Blocked"),ROW(),""))</f>
        <v>77</v>
      </c>
    </row>
    <row r="78" customFormat="false" ht="15" hidden="false" customHeight="false" outlineLevel="0" collapsed="false">
      <c r="A78" s="0" t="s">
        <v>401</v>
      </c>
      <c r="B78" s="3" t="s">
        <v>397</v>
      </c>
      <c r="C78" s="0" t="s">
        <v>398</v>
      </c>
      <c r="D78" s="0" t="s">
        <v>402</v>
      </c>
      <c r="E78" s="0" t="s">
        <v>403</v>
      </c>
      <c r="F78" s="3" t="s">
        <v>97</v>
      </c>
      <c r="G78" s="3" t="s">
        <v>91</v>
      </c>
      <c r="H78" s="3" t="s">
        <v>92</v>
      </c>
      <c r="I78" s="3" t="s">
        <v>233</v>
      </c>
      <c r="J78" s="37" t="n">
        <f aca="false">IF($A78="","",IFERROR(INDEX(Lists!$B$2:$B$10,MATCH($I78,Lists!$A$2:$A$10,0)),""))</f>
        <v>0</v>
      </c>
      <c r="K78" s="38" t="n">
        <v>46361</v>
      </c>
      <c r="L78" s="38" t="n">
        <v>46391</v>
      </c>
      <c r="M78" s="38"/>
      <c r="N78" s="3" t="n">
        <f aca="false">IF($A78="","",$L78-$K78+1)</f>
        <v>31</v>
      </c>
      <c r="O78" s="39" t="n">
        <f aca="true">IF($A78="","",IF(OR($I78="Completed",$I78="Cancelled"),0,$L78-TODAY()))</f>
        <v>162</v>
      </c>
      <c r="P78" s="3" t="s">
        <v>396</v>
      </c>
      <c r="Q78" s="3" t="s">
        <v>90</v>
      </c>
      <c r="S78" s="3" t="n">
        <f aca="false">IF($A78="","",IF(AND($O78&lt;0,$I78&lt;&gt;"Completed",$I78&lt;&gt;"Cancelled"),1,0))</f>
        <v>0</v>
      </c>
      <c r="T78" s="0" t="str">
        <f aca="false">IF($A78="","",IF($I78="Completed",ROW(),""))</f>
        <v/>
      </c>
      <c r="U78" s="3" t="n">
        <f aca="false">IF($A78="","",IF(OR($I78="Not Started",$I78="Planning",$I78="Blocked"),ROW(),""))</f>
        <v>78</v>
      </c>
    </row>
    <row r="79" customFormat="false" ht="15" hidden="false" customHeight="false" outlineLevel="0" collapsed="false">
      <c r="A79" s="0" t="s">
        <v>404</v>
      </c>
      <c r="B79" s="3" t="s">
        <v>397</v>
      </c>
      <c r="C79" s="0" t="s">
        <v>398</v>
      </c>
      <c r="D79" s="0" t="s">
        <v>405</v>
      </c>
      <c r="E79" s="0" t="s">
        <v>406</v>
      </c>
      <c r="F79" s="3" t="s">
        <v>97</v>
      </c>
      <c r="G79" s="3" t="s">
        <v>91</v>
      </c>
      <c r="H79" s="3" t="s">
        <v>92</v>
      </c>
      <c r="I79" s="3" t="s">
        <v>233</v>
      </c>
      <c r="J79" s="37" t="n">
        <f aca="false">IF($A79="","",IFERROR(INDEX(Lists!$B$2:$B$10,MATCH($I79,Lists!$A$2:$A$10,0)),""))</f>
        <v>0</v>
      </c>
      <c r="K79" s="38" t="n">
        <v>46392</v>
      </c>
      <c r="L79" s="38" t="n">
        <v>46421</v>
      </c>
      <c r="M79" s="38"/>
      <c r="N79" s="3" t="n">
        <f aca="false">IF($A79="","",$L79-$K79+1)</f>
        <v>30</v>
      </c>
      <c r="O79" s="39" t="n">
        <f aca="true">IF($A79="","",IF(OR($I79="Completed",$I79="Cancelled"),0,$L79-TODAY()))</f>
        <v>192</v>
      </c>
      <c r="P79" s="3" t="s">
        <v>401</v>
      </c>
      <c r="Q79" s="3" t="s">
        <v>90</v>
      </c>
      <c r="S79" s="3" t="n">
        <f aca="false">IF($A79="","",IF(AND($O79&lt;0,$I79&lt;&gt;"Completed",$I79&lt;&gt;"Cancelled"),1,0))</f>
        <v>0</v>
      </c>
      <c r="T79" s="0" t="str">
        <f aca="false">IF($A79="","",IF($I79="Completed",ROW(),""))</f>
        <v/>
      </c>
      <c r="U79" s="3" t="n">
        <f aca="false">IF($A79="","",IF(OR($I79="Not Started",$I79="Planning",$I79="Blocked"),ROW(),""))</f>
        <v>79</v>
      </c>
    </row>
    <row r="80" customFormat="false" ht="15" hidden="false" customHeight="false" outlineLevel="0" collapsed="false">
      <c r="A80" s="0" t="s">
        <v>407</v>
      </c>
      <c r="B80" s="3" t="s">
        <v>408</v>
      </c>
      <c r="C80" s="0" t="s">
        <v>409</v>
      </c>
      <c r="D80" s="0" t="s">
        <v>410</v>
      </c>
      <c r="E80" s="0" t="s">
        <v>411</v>
      </c>
      <c r="F80" s="3" t="s">
        <v>97</v>
      </c>
      <c r="G80" s="3" t="s">
        <v>412</v>
      </c>
      <c r="H80" s="3" t="s">
        <v>413</v>
      </c>
      <c r="I80" s="3" t="s">
        <v>233</v>
      </c>
      <c r="J80" s="37" t="n">
        <f aca="false">IF($A80="","",IFERROR(INDEX(Lists!$B$2:$B$10,MATCH($I80,Lists!$A$2:$A$10,0)),""))</f>
        <v>0</v>
      </c>
      <c r="K80" s="38" t="n">
        <v>46301</v>
      </c>
      <c r="L80" s="38" t="n">
        <v>46330</v>
      </c>
      <c r="M80" s="38"/>
      <c r="N80" s="3" t="n">
        <f aca="false">IF($A80="","",$L80-$K80+1)</f>
        <v>30</v>
      </c>
      <c r="O80" s="39" t="n">
        <f aca="true">IF($A80="","",IF(OR($I80="Completed",$I80="Cancelled"),0,$L80-TODAY()))</f>
        <v>101</v>
      </c>
      <c r="P80" s="3" t="s">
        <v>130</v>
      </c>
      <c r="Q80" s="3" t="s">
        <v>97</v>
      </c>
      <c r="S80" s="3" t="n">
        <f aca="false">IF($A80="","",IF(AND($O80&lt;0,$I80&lt;&gt;"Completed",$I80&lt;&gt;"Cancelled"),1,0))</f>
        <v>0</v>
      </c>
      <c r="T80" s="0" t="str">
        <f aca="false">IF($A80="","",IF($I80="Completed",ROW(),""))</f>
        <v/>
      </c>
      <c r="U80" s="3" t="n">
        <f aca="false">IF($A80="","",IF(OR($I80="Not Started",$I80="Planning",$I80="Blocked"),ROW(),""))</f>
        <v>80</v>
      </c>
    </row>
    <row r="81" customFormat="false" ht="15" hidden="false" customHeight="false" outlineLevel="0" collapsed="false">
      <c r="A81" s="0" t="s">
        <v>414</v>
      </c>
      <c r="B81" s="3" t="s">
        <v>408</v>
      </c>
      <c r="C81" s="0" t="s">
        <v>409</v>
      </c>
      <c r="D81" s="0" t="s">
        <v>415</v>
      </c>
      <c r="E81" s="0" t="s">
        <v>416</v>
      </c>
      <c r="F81" s="3" t="s">
        <v>97</v>
      </c>
      <c r="G81" s="3" t="s">
        <v>412</v>
      </c>
      <c r="H81" s="3" t="s">
        <v>413</v>
      </c>
      <c r="I81" s="3" t="s">
        <v>233</v>
      </c>
      <c r="J81" s="37" t="n">
        <f aca="false">IF($A81="","",IFERROR(INDEX(Lists!$B$2:$B$10,MATCH($I81,Lists!$A$2:$A$10,0)),""))</f>
        <v>0</v>
      </c>
      <c r="K81" s="38" t="n">
        <v>46331</v>
      </c>
      <c r="L81" s="38" t="n">
        <v>46361</v>
      </c>
      <c r="M81" s="38"/>
      <c r="N81" s="3" t="n">
        <f aca="false">IF($A81="","",$L81-$K81+1)</f>
        <v>31</v>
      </c>
      <c r="O81" s="39" t="n">
        <f aca="true">IF($A81="","",IF(OR($I81="Completed",$I81="Cancelled"),0,$L81-TODAY()))</f>
        <v>132</v>
      </c>
      <c r="P81" s="3" t="s">
        <v>407</v>
      </c>
      <c r="Q81" s="3" t="s">
        <v>97</v>
      </c>
      <c r="S81" s="3" t="n">
        <f aca="false">IF($A81="","",IF(AND($O81&lt;0,$I81&lt;&gt;"Completed",$I81&lt;&gt;"Cancelled"),1,0))</f>
        <v>0</v>
      </c>
      <c r="T81" s="0" t="str">
        <f aca="false">IF($A81="","",IF($I81="Completed",ROW(),""))</f>
        <v/>
      </c>
      <c r="U81" s="3" t="n">
        <f aca="false">IF($A81="","",IF(OR($I81="Not Started",$I81="Planning",$I81="Blocked"),ROW(),""))</f>
        <v>81</v>
      </c>
    </row>
    <row r="82" customFormat="false" ht="15" hidden="false" customHeight="false" outlineLevel="0" collapsed="false">
      <c r="A82" s="0" t="s">
        <v>417</v>
      </c>
      <c r="B82" s="3" t="s">
        <v>408</v>
      </c>
      <c r="C82" s="0" t="s">
        <v>409</v>
      </c>
      <c r="D82" s="0" t="s">
        <v>418</v>
      </c>
      <c r="E82" s="0" t="s">
        <v>419</v>
      </c>
      <c r="F82" s="3" t="s">
        <v>97</v>
      </c>
      <c r="G82" s="3" t="s">
        <v>412</v>
      </c>
      <c r="H82" s="3" t="s">
        <v>413</v>
      </c>
      <c r="I82" s="3" t="s">
        <v>420</v>
      </c>
      <c r="J82" s="37" t="n">
        <f aca="false">IF($A82="","",IFERROR(INDEX(Lists!$B$2:$B$10,MATCH($I82,Lists!$A$2:$A$10,0)),""))</f>
        <v>0</v>
      </c>
      <c r="K82" s="38" t="n">
        <v>46362</v>
      </c>
      <c r="L82" s="38" t="n">
        <v>46391</v>
      </c>
      <c r="M82" s="38"/>
      <c r="N82" s="3" t="n">
        <f aca="false">IF($A82="","",$L82-$K82+1)</f>
        <v>30</v>
      </c>
      <c r="O82" s="39" t="n">
        <f aca="true">IF($A82="","",IF(OR($I82="Completed",$I82="Cancelled"),0,$L82-TODAY()))</f>
        <v>0</v>
      </c>
      <c r="P82" s="3" t="s">
        <v>414</v>
      </c>
      <c r="Q82" s="3" t="s">
        <v>90</v>
      </c>
      <c r="R82" s="3" t="s">
        <v>421</v>
      </c>
      <c r="S82" s="3" t="n">
        <f aca="false">IF($A82="","",IF(AND($O82&lt;0,$I82&lt;&gt;"Completed",$I82&lt;&gt;"Cancelled"),1,0))</f>
        <v>0</v>
      </c>
      <c r="T82" s="0" t="str">
        <f aca="false">IF($A82="","",IF($I82="Completed",ROW(),""))</f>
        <v/>
      </c>
      <c r="U82" s="0" t="str">
        <f aca="false">IF($A82="","",IF(OR($I82="Not Started",$I82="Planning",$I82="Blocked"),ROW(),""))</f>
        <v/>
      </c>
    </row>
    <row r="83" customFormat="false" ht="15" hidden="false" customHeight="false" outlineLevel="0" collapsed="false">
      <c r="A83" s="0" t="s">
        <v>422</v>
      </c>
      <c r="B83" s="3" t="s">
        <v>423</v>
      </c>
      <c r="C83" s="0" t="s">
        <v>424</v>
      </c>
      <c r="D83" s="0" t="s">
        <v>425</v>
      </c>
      <c r="E83" s="0" t="s">
        <v>426</v>
      </c>
      <c r="F83" s="3" t="s">
        <v>175</v>
      </c>
      <c r="G83" s="3" t="s">
        <v>412</v>
      </c>
      <c r="H83" s="3" t="s">
        <v>413</v>
      </c>
      <c r="I83" s="3" t="s">
        <v>233</v>
      </c>
      <c r="J83" s="37" t="n">
        <f aca="false">IF($A83="","",IFERROR(INDEX(Lists!$B$2:$B$10,MATCH($I83,Lists!$A$2:$A$10,0)),""))</f>
        <v>0</v>
      </c>
      <c r="K83" s="38" t="n">
        <v>46270</v>
      </c>
      <c r="L83" s="38" t="n">
        <v>46310</v>
      </c>
      <c r="M83" s="38"/>
      <c r="N83" s="3" t="n">
        <f aca="false">IF($A83="","",$L83-$K83+1)</f>
        <v>41</v>
      </c>
      <c r="O83" s="39" t="n">
        <f aca="true">IF($A83="","",IF(OR($I83="Completed",$I83="Cancelled"),0,$L83-TODAY()))</f>
        <v>81</v>
      </c>
      <c r="P83" s="3" t="s">
        <v>220</v>
      </c>
      <c r="Q83" s="3" t="s">
        <v>175</v>
      </c>
      <c r="S83" s="3" t="n">
        <f aca="false">IF($A83="","",IF(AND($O83&lt;0,$I83&lt;&gt;"Completed",$I83&lt;&gt;"Cancelled"),1,0))</f>
        <v>0</v>
      </c>
      <c r="T83" s="0" t="str">
        <f aca="false">IF($A83="","",IF($I83="Completed",ROW(),""))</f>
        <v/>
      </c>
      <c r="U83" s="3" t="n">
        <f aca="false">IF($A83="","",IF(OR($I83="Not Started",$I83="Planning",$I83="Blocked"),ROW(),""))</f>
        <v>83</v>
      </c>
    </row>
    <row r="84" customFormat="false" ht="15" hidden="false" customHeight="false" outlineLevel="0" collapsed="false">
      <c r="A84" s="0" t="s">
        <v>427</v>
      </c>
      <c r="B84" s="3" t="s">
        <v>423</v>
      </c>
      <c r="C84" s="0" t="s">
        <v>424</v>
      </c>
      <c r="D84" s="0" t="s">
        <v>428</v>
      </c>
      <c r="E84" s="0" t="s">
        <v>429</v>
      </c>
      <c r="F84" s="3" t="s">
        <v>175</v>
      </c>
      <c r="G84" s="3" t="s">
        <v>412</v>
      </c>
      <c r="H84" s="3" t="s">
        <v>413</v>
      </c>
      <c r="I84" s="3" t="s">
        <v>233</v>
      </c>
      <c r="J84" s="37" t="n">
        <f aca="false">IF($A84="","",IFERROR(INDEX(Lists!$B$2:$B$10,MATCH($I84,Lists!$A$2:$A$10,0)),""))</f>
        <v>0</v>
      </c>
      <c r="K84" s="38" t="n">
        <v>46311</v>
      </c>
      <c r="L84" s="38" t="n">
        <v>46350</v>
      </c>
      <c r="M84" s="38"/>
      <c r="N84" s="3" t="n">
        <f aca="false">IF($A84="","",$L84-$K84+1)</f>
        <v>40</v>
      </c>
      <c r="O84" s="39" t="n">
        <f aca="true">IF($A84="","",IF(OR($I84="Completed",$I84="Cancelled"),0,$L84-TODAY()))</f>
        <v>121</v>
      </c>
      <c r="P84" s="3" t="s">
        <v>422</v>
      </c>
      <c r="Q84" s="3" t="s">
        <v>175</v>
      </c>
      <c r="S84" s="3" t="n">
        <f aca="false">IF($A84="","",IF(AND($O84&lt;0,$I84&lt;&gt;"Completed",$I84&lt;&gt;"Cancelled"),1,0))</f>
        <v>0</v>
      </c>
      <c r="T84" s="0" t="str">
        <f aca="false">IF($A84="","",IF($I84="Completed",ROW(),""))</f>
        <v/>
      </c>
      <c r="U84" s="3" t="n">
        <f aca="false">IF($A84="","",IF(OR($I84="Not Started",$I84="Planning",$I84="Blocked"),ROW(),""))</f>
        <v>84</v>
      </c>
    </row>
    <row r="85" customFormat="false" ht="15" hidden="false" customHeight="false" outlineLevel="0" collapsed="false">
      <c r="A85" s="0" t="s">
        <v>430</v>
      </c>
      <c r="B85" s="3" t="s">
        <v>423</v>
      </c>
      <c r="C85" s="0" t="s">
        <v>424</v>
      </c>
      <c r="D85" s="0" t="s">
        <v>431</v>
      </c>
      <c r="E85" s="0" t="s">
        <v>432</v>
      </c>
      <c r="F85" s="3" t="s">
        <v>175</v>
      </c>
      <c r="G85" s="3" t="s">
        <v>412</v>
      </c>
      <c r="H85" s="3" t="s">
        <v>413</v>
      </c>
      <c r="I85" s="3" t="s">
        <v>233</v>
      </c>
      <c r="J85" s="37" t="n">
        <f aca="false">IF($A85="","",IFERROR(INDEX(Lists!$B$2:$B$10,MATCH($I85,Lists!$A$2:$A$10,0)),""))</f>
        <v>0</v>
      </c>
      <c r="K85" s="38" t="n">
        <v>46351</v>
      </c>
      <c r="L85" s="38" t="n">
        <v>46391</v>
      </c>
      <c r="M85" s="38"/>
      <c r="N85" s="3" t="n">
        <f aca="false">IF($A85="","",$L85-$K85+1)</f>
        <v>41</v>
      </c>
      <c r="O85" s="39" t="n">
        <f aca="true">IF($A85="","",IF(OR($I85="Completed",$I85="Cancelled"),0,$L85-TODAY()))</f>
        <v>162</v>
      </c>
      <c r="P85" s="3" t="s">
        <v>427</v>
      </c>
      <c r="Q85" s="3" t="s">
        <v>175</v>
      </c>
      <c r="S85" s="3" t="n">
        <f aca="false">IF($A85="","",IF(AND($O85&lt;0,$I85&lt;&gt;"Completed",$I85&lt;&gt;"Cancelled"),1,0))</f>
        <v>0</v>
      </c>
      <c r="T85" s="0" t="str">
        <f aca="false">IF($A85="","",IF($I85="Completed",ROW(),""))</f>
        <v/>
      </c>
      <c r="U85" s="3" t="n">
        <f aca="false">IF($A85="","",IF(OR($I85="Not Started",$I85="Planning",$I85="Blocked"),ROW(),""))</f>
        <v>85</v>
      </c>
    </row>
    <row r="86" customFormat="false" ht="15" hidden="false" customHeight="false" outlineLevel="0" collapsed="false">
      <c r="A86" s="0" t="s">
        <v>433</v>
      </c>
      <c r="B86" s="3" t="s">
        <v>434</v>
      </c>
      <c r="C86" s="0" t="s">
        <v>435</v>
      </c>
      <c r="D86" s="0" t="s">
        <v>436</v>
      </c>
      <c r="E86" s="0" t="s">
        <v>437</v>
      </c>
      <c r="F86" s="3" t="s">
        <v>175</v>
      </c>
      <c r="G86" s="3" t="s">
        <v>438</v>
      </c>
      <c r="H86" s="3" t="s">
        <v>439</v>
      </c>
      <c r="I86" s="3" t="s">
        <v>233</v>
      </c>
      <c r="J86" s="37" t="n">
        <f aca="false">IF($A86="","",IFERROR(INDEX(Lists!$B$2:$B$10,MATCH($I86,Lists!$A$2:$A$10,0)),""))</f>
        <v>0</v>
      </c>
      <c r="K86" s="38" t="n">
        <v>46407</v>
      </c>
      <c r="L86" s="38" t="n">
        <v>46421</v>
      </c>
      <c r="M86" s="38"/>
      <c r="N86" s="3" t="n">
        <f aca="false">IF($A86="","",$L86-$K86+1)</f>
        <v>15</v>
      </c>
      <c r="O86" s="39" t="n">
        <f aca="true">IF($A86="","",IF(OR($I86="Completed",$I86="Cancelled"),0,$L86-TODAY()))</f>
        <v>192</v>
      </c>
      <c r="P86" s="3" t="s">
        <v>385</v>
      </c>
      <c r="Q86" s="3" t="s">
        <v>175</v>
      </c>
      <c r="S86" s="3" t="n">
        <f aca="false">IF($A86="","",IF(AND($O86&lt;0,$I86&lt;&gt;"Completed",$I86&lt;&gt;"Cancelled"),1,0))</f>
        <v>0</v>
      </c>
      <c r="T86" s="0" t="str">
        <f aca="false">IF($A86="","",IF($I86="Completed",ROW(),""))</f>
        <v/>
      </c>
      <c r="U86" s="3" t="n">
        <f aca="false">IF($A86="","",IF(OR($I86="Not Started",$I86="Planning",$I86="Blocked"),ROW(),""))</f>
        <v>86</v>
      </c>
    </row>
    <row r="87" customFormat="false" ht="15" hidden="false" customHeight="false" outlineLevel="0" collapsed="false">
      <c r="A87" s="0" t="s">
        <v>440</v>
      </c>
      <c r="B87" s="3" t="s">
        <v>434</v>
      </c>
      <c r="C87" s="0" t="s">
        <v>435</v>
      </c>
      <c r="D87" s="0" t="s">
        <v>441</v>
      </c>
      <c r="E87" s="0" t="s">
        <v>442</v>
      </c>
      <c r="F87" s="3" t="s">
        <v>175</v>
      </c>
      <c r="G87" s="3" t="s">
        <v>438</v>
      </c>
      <c r="H87" s="3" t="s">
        <v>439</v>
      </c>
      <c r="I87" s="3" t="s">
        <v>233</v>
      </c>
      <c r="J87" s="37" t="n">
        <f aca="false">IF($A87="","",IFERROR(INDEX(Lists!$B$2:$B$10,MATCH($I87,Lists!$A$2:$A$10,0)),""))</f>
        <v>0</v>
      </c>
      <c r="K87" s="38" t="n">
        <v>46422</v>
      </c>
      <c r="L87" s="38" t="n">
        <v>46437</v>
      </c>
      <c r="M87" s="38"/>
      <c r="N87" s="3" t="n">
        <f aca="false">IF($A87="","",$L87-$K87+1)</f>
        <v>16</v>
      </c>
      <c r="O87" s="39" t="n">
        <f aca="true">IF($A87="","",IF(OR($I87="Completed",$I87="Cancelled"),0,$L87-TODAY()))</f>
        <v>208</v>
      </c>
      <c r="P87" s="3" t="s">
        <v>433</v>
      </c>
      <c r="Q87" s="3" t="s">
        <v>175</v>
      </c>
      <c r="S87" s="3" t="n">
        <f aca="false">IF($A87="","",IF(AND($O87&lt;0,$I87&lt;&gt;"Completed",$I87&lt;&gt;"Cancelled"),1,0))</f>
        <v>0</v>
      </c>
      <c r="T87" s="0" t="str">
        <f aca="false">IF($A87="","",IF($I87="Completed",ROW(),""))</f>
        <v/>
      </c>
      <c r="U87" s="3" t="n">
        <f aca="false">IF($A87="","",IF(OR($I87="Not Started",$I87="Planning",$I87="Blocked"),ROW(),""))</f>
        <v>87</v>
      </c>
    </row>
    <row r="88" customFormat="false" ht="15" hidden="false" customHeight="false" outlineLevel="0" collapsed="false">
      <c r="A88" s="0" t="s">
        <v>443</v>
      </c>
      <c r="B88" s="3" t="s">
        <v>434</v>
      </c>
      <c r="C88" s="0" t="s">
        <v>435</v>
      </c>
      <c r="D88" s="0" t="s">
        <v>444</v>
      </c>
      <c r="E88" s="0" t="s">
        <v>445</v>
      </c>
      <c r="F88" s="3" t="s">
        <v>175</v>
      </c>
      <c r="G88" s="3" t="s">
        <v>438</v>
      </c>
      <c r="H88" s="3" t="s">
        <v>439</v>
      </c>
      <c r="I88" s="3" t="s">
        <v>233</v>
      </c>
      <c r="J88" s="37" t="n">
        <f aca="false">IF($A88="","",IFERROR(INDEX(Lists!$B$2:$B$10,MATCH($I88,Lists!$A$2:$A$10,0)),""))</f>
        <v>0</v>
      </c>
      <c r="K88" s="38" t="n">
        <v>46438</v>
      </c>
      <c r="L88" s="38" t="n">
        <v>46452</v>
      </c>
      <c r="M88" s="38"/>
      <c r="N88" s="3" t="n">
        <f aca="false">IF($A88="","",$L88-$K88+1)</f>
        <v>15</v>
      </c>
      <c r="O88" s="39" t="n">
        <f aca="true">IF($A88="","",IF(OR($I88="Completed",$I88="Cancelled"),0,$L88-TODAY()))</f>
        <v>223</v>
      </c>
      <c r="P88" s="3" t="s">
        <v>440</v>
      </c>
      <c r="Q88" s="3" t="s">
        <v>175</v>
      </c>
      <c r="S88" s="3" t="n">
        <f aca="false">IF($A88="","",IF(AND($O88&lt;0,$I88&lt;&gt;"Completed",$I88&lt;&gt;"Cancelled"),1,0))</f>
        <v>0</v>
      </c>
      <c r="T88" s="0" t="str">
        <f aca="false">IF($A88="","",IF($I88="Completed",ROW(),""))</f>
        <v/>
      </c>
      <c r="U88" s="3" t="n">
        <f aca="false">IF($A88="","",IF(OR($I88="Not Started",$I88="Planning",$I88="Blocked"),ROW(),""))</f>
        <v>88</v>
      </c>
    </row>
    <row r="89" customFormat="false" ht="15" hidden="false" customHeight="false" outlineLevel="0" collapsed="false">
      <c r="A89" s="0" t="s">
        <v>446</v>
      </c>
      <c r="B89" s="3" t="s">
        <v>447</v>
      </c>
      <c r="C89" s="0" t="s">
        <v>448</v>
      </c>
      <c r="D89" s="0" t="s">
        <v>449</v>
      </c>
      <c r="E89" s="0" t="s">
        <v>450</v>
      </c>
      <c r="F89" s="3" t="s">
        <v>90</v>
      </c>
      <c r="G89" s="3" t="s">
        <v>438</v>
      </c>
      <c r="H89" s="3" t="s">
        <v>439</v>
      </c>
      <c r="I89" s="3" t="s">
        <v>233</v>
      </c>
      <c r="J89" s="37" t="n">
        <f aca="false">IF($A89="","",IFERROR(INDEX(Lists!$B$2:$B$10,MATCH($I89,Lists!$A$2:$A$10,0)),""))</f>
        <v>0</v>
      </c>
      <c r="K89" s="38" t="n">
        <v>46453</v>
      </c>
      <c r="L89" s="38" t="n">
        <v>46472</v>
      </c>
      <c r="M89" s="38"/>
      <c r="N89" s="3" t="n">
        <f aca="false">IF($A89="","",$L89-$K89+1)</f>
        <v>20</v>
      </c>
      <c r="O89" s="39" t="n">
        <f aca="true">IF($A89="","",IF(OR($I89="Completed",$I89="Cancelled"),0,$L89-TODAY()))</f>
        <v>243</v>
      </c>
      <c r="P89" s="3" t="s">
        <v>433</v>
      </c>
      <c r="Q89" s="3" t="s">
        <v>90</v>
      </c>
      <c r="S89" s="3" t="n">
        <f aca="false">IF($A89="","",IF(AND($O89&lt;0,$I89&lt;&gt;"Completed",$I89&lt;&gt;"Cancelled"),1,0))</f>
        <v>0</v>
      </c>
      <c r="T89" s="0" t="str">
        <f aca="false">IF($A89="","",IF($I89="Completed",ROW(),""))</f>
        <v/>
      </c>
      <c r="U89" s="3" t="n">
        <f aca="false">IF($A89="","",IF(OR($I89="Not Started",$I89="Planning",$I89="Blocked"),ROW(),""))</f>
        <v>89</v>
      </c>
    </row>
    <row r="90" customFormat="false" ht="15" hidden="false" customHeight="false" outlineLevel="0" collapsed="false">
      <c r="A90" s="0" t="s">
        <v>451</v>
      </c>
      <c r="B90" s="3" t="s">
        <v>447</v>
      </c>
      <c r="C90" s="0" t="s">
        <v>448</v>
      </c>
      <c r="D90" s="0" t="s">
        <v>452</v>
      </c>
      <c r="E90" s="0" t="s">
        <v>453</v>
      </c>
      <c r="F90" s="3" t="s">
        <v>97</v>
      </c>
      <c r="G90" s="3" t="s">
        <v>438</v>
      </c>
      <c r="H90" s="3" t="s">
        <v>439</v>
      </c>
      <c r="I90" s="3" t="s">
        <v>233</v>
      </c>
      <c r="J90" s="37" t="n">
        <f aca="false">IF($A90="","",IFERROR(INDEX(Lists!$B$2:$B$10,MATCH($I90,Lists!$A$2:$A$10,0)),""))</f>
        <v>0</v>
      </c>
      <c r="K90" s="38" t="n">
        <v>46473</v>
      </c>
      <c r="L90" s="38" t="n">
        <v>46492</v>
      </c>
      <c r="M90" s="38"/>
      <c r="N90" s="3" t="n">
        <f aca="false">IF($A90="","",$L90-$K90+1)</f>
        <v>20</v>
      </c>
      <c r="O90" s="39" t="n">
        <f aca="true">IF($A90="","",IF(OR($I90="Completed",$I90="Cancelled"),0,$L90-TODAY()))</f>
        <v>263</v>
      </c>
      <c r="P90" s="3" t="s">
        <v>446</v>
      </c>
      <c r="Q90" s="3" t="s">
        <v>90</v>
      </c>
      <c r="S90" s="3" t="n">
        <f aca="false">IF($A90="","",IF(AND($O90&lt;0,$I90&lt;&gt;"Completed",$I90&lt;&gt;"Cancelled"),1,0))</f>
        <v>0</v>
      </c>
      <c r="T90" s="0" t="str">
        <f aca="false">IF($A90="","",IF($I90="Completed",ROW(),""))</f>
        <v/>
      </c>
      <c r="U90" s="3" t="n">
        <f aca="false">IF($A90="","",IF(OR($I90="Not Started",$I90="Planning",$I90="Blocked"),ROW(),""))</f>
        <v>90</v>
      </c>
    </row>
    <row r="91" customFormat="false" ht="15" hidden="false" customHeight="false" outlineLevel="0" collapsed="false">
      <c r="A91" s="0" t="s">
        <v>454</v>
      </c>
      <c r="B91" s="3" t="s">
        <v>447</v>
      </c>
      <c r="C91" s="0" t="s">
        <v>448</v>
      </c>
      <c r="D91" s="0" t="s">
        <v>455</v>
      </c>
      <c r="E91" s="0" t="s">
        <v>456</v>
      </c>
      <c r="F91" s="3" t="s">
        <v>97</v>
      </c>
      <c r="G91" s="3" t="s">
        <v>438</v>
      </c>
      <c r="H91" s="3" t="s">
        <v>439</v>
      </c>
      <c r="I91" s="3" t="s">
        <v>233</v>
      </c>
      <c r="J91" s="37" t="n">
        <f aca="false">IF($A91="","",IFERROR(INDEX(Lists!$B$2:$B$10,MATCH($I91,Lists!$A$2:$A$10,0)),""))</f>
        <v>0</v>
      </c>
      <c r="K91" s="38" t="n">
        <v>46493</v>
      </c>
      <c r="L91" s="38" t="n">
        <v>46512</v>
      </c>
      <c r="M91" s="38"/>
      <c r="N91" s="3" t="n">
        <f aca="false">IF($A91="","",$L91-$K91+1)</f>
        <v>20</v>
      </c>
      <c r="O91" s="39" t="n">
        <f aca="true">IF($A91="","",IF(OR($I91="Completed",$I91="Cancelled"),0,$L91-TODAY()))</f>
        <v>283</v>
      </c>
      <c r="P91" s="3" t="s">
        <v>451</v>
      </c>
      <c r="Q91" s="3" t="s">
        <v>90</v>
      </c>
      <c r="S91" s="3" t="n">
        <f aca="false">IF($A91="","",IF(AND($O91&lt;0,$I91&lt;&gt;"Completed",$I91&lt;&gt;"Cancelled"),1,0))</f>
        <v>0</v>
      </c>
      <c r="T91" s="0" t="str">
        <f aca="false">IF($A91="","",IF($I91="Completed",ROW(),""))</f>
        <v/>
      </c>
      <c r="U91" s="3" t="n">
        <f aca="false">IF($A91="","",IF(OR($I91="Not Started",$I91="Planning",$I91="Blocked"),ROW(),""))</f>
        <v>91</v>
      </c>
    </row>
    <row r="92" customFormat="false" ht="15" hidden="false" customHeight="false" outlineLevel="0" collapsed="false">
      <c r="B92" s="3"/>
      <c r="F92" s="3"/>
      <c r="G92" s="3"/>
      <c r="H92" s="3"/>
      <c r="I92" s="3"/>
      <c r="J92" s="37" t="str">
        <f aca="false">IF($A92="","",IFERROR(INDEX(Lists!$B$2:$B$10,MATCH($I92,Lists!$A$2:$A$10,0)),""))</f>
        <v/>
      </c>
      <c r="N92" s="0" t="str">
        <f aca="false">IF($A92="","",$L92-$K92+1)</f>
        <v/>
      </c>
      <c r="O92" s="39" t="str">
        <f aca="true">IF($A92="","",IF(OR($I92="Completed",$I92="Cancelled"),0,$L92-TODAY()))</f>
        <v/>
      </c>
      <c r="Q92" s="3"/>
      <c r="S92" s="0" t="str">
        <f aca="false">IF($A92="","",IF(AND($O92&lt;0,$I92&lt;&gt;"Completed",$I92&lt;&gt;"Cancelled"),1,0))</f>
        <v/>
      </c>
      <c r="T92" s="0" t="str">
        <f aca="false">IF($A92="","",IF($I92="Completed",ROW(),""))</f>
        <v/>
      </c>
      <c r="U92" s="0" t="str">
        <f aca="false">IF($A92="","",IF(OR($I92="Not Started",$I92="Planning",$I92="Blocked"),ROW(),""))</f>
        <v/>
      </c>
    </row>
    <row r="93" customFormat="false" ht="15" hidden="false" customHeight="false" outlineLevel="0" collapsed="false">
      <c r="B93" s="3"/>
      <c r="F93" s="3"/>
      <c r="G93" s="3"/>
      <c r="H93" s="3"/>
      <c r="I93" s="3"/>
      <c r="J93" s="37" t="str">
        <f aca="false">IF($A93="","",IFERROR(INDEX(Lists!$B$2:$B$10,MATCH($I93,Lists!$A$2:$A$10,0)),""))</f>
        <v/>
      </c>
      <c r="N93" s="0" t="str">
        <f aca="false">IF($A93="","",$L93-$K93+1)</f>
        <v/>
      </c>
      <c r="O93" s="39" t="str">
        <f aca="true">IF($A93="","",IF(OR($I93="Completed",$I93="Cancelled"),0,$L93-TODAY()))</f>
        <v/>
      </c>
      <c r="Q93" s="3"/>
      <c r="S93" s="0" t="str">
        <f aca="false">IF($A93="","",IF(AND($O93&lt;0,$I93&lt;&gt;"Completed",$I93&lt;&gt;"Cancelled"),1,0))</f>
        <v/>
      </c>
      <c r="T93" s="0" t="str">
        <f aca="false">IF($A93="","",IF($I93="Completed",ROW(),""))</f>
        <v/>
      </c>
      <c r="U93" s="0" t="str">
        <f aca="false">IF($A93="","",IF(OR($I93="Not Started",$I93="Planning",$I93="Blocked"),ROW(),""))</f>
        <v/>
      </c>
    </row>
    <row r="94" customFormat="false" ht="15" hidden="false" customHeight="false" outlineLevel="0" collapsed="false">
      <c r="B94" s="3"/>
      <c r="F94" s="3"/>
      <c r="G94" s="3"/>
      <c r="H94" s="3"/>
      <c r="I94" s="3"/>
      <c r="J94" s="37" t="str">
        <f aca="false">IF($A94="","",IFERROR(INDEX(Lists!$B$2:$B$10,MATCH($I94,Lists!$A$2:$A$10,0)),""))</f>
        <v/>
      </c>
      <c r="N94" s="0" t="str">
        <f aca="false">IF($A94="","",$L94-$K94+1)</f>
        <v/>
      </c>
      <c r="O94" s="39" t="str">
        <f aca="true">IF($A94="","",IF(OR($I94="Completed",$I94="Cancelled"),0,$L94-TODAY()))</f>
        <v/>
      </c>
      <c r="Q94" s="3"/>
      <c r="S94" s="0" t="str">
        <f aca="false">IF($A94="","",IF(AND($O94&lt;0,$I94&lt;&gt;"Completed",$I94&lt;&gt;"Cancelled"),1,0))</f>
        <v/>
      </c>
      <c r="T94" s="0" t="str">
        <f aca="false">IF($A94="","",IF($I94="Completed",ROW(),""))</f>
        <v/>
      </c>
      <c r="U94" s="0" t="str">
        <f aca="false">IF($A94="","",IF(OR($I94="Not Started",$I94="Planning",$I94="Blocked"),ROW(),""))</f>
        <v/>
      </c>
    </row>
    <row r="95" customFormat="false" ht="15" hidden="false" customHeight="false" outlineLevel="0" collapsed="false">
      <c r="B95" s="3"/>
      <c r="F95" s="3"/>
      <c r="G95" s="3"/>
      <c r="H95" s="3"/>
      <c r="I95" s="3"/>
      <c r="J95" s="37" t="str">
        <f aca="false">IF($A95="","",IFERROR(INDEX(Lists!$B$2:$B$10,MATCH($I95,Lists!$A$2:$A$10,0)),""))</f>
        <v/>
      </c>
      <c r="N95" s="0" t="str">
        <f aca="false">IF($A95="","",$L95-$K95+1)</f>
        <v/>
      </c>
      <c r="O95" s="39" t="str">
        <f aca="true">IF($A95="","",IF(OR($I95="Completed",$I95="Cancelled"),0,$L95-TODAY()))</f>
        <v/>
      </c>
      <c r="Q95" s="3"/>
      <c r="S95" s="0" t="str">
        <f aca="false">IF($A95="","",IF(AND($O95&lt;0,$I95&lt;&gt;"Completed",$I95&lt;&gt;"Cancelled"),1,0))</f>
        <v/>
      </c>
      <c r="T95" s="0" t="str">
        <f aca="false">IF($A95="","",IF($I95="Completed",ROW(),""))</f>
        <v/>
      </c>
      <c r="U95" s="0" t="str">
        <f aca="false">IF($A95="","",IF(OR($I95="Not Started",$I95="Planning",$I95="Blocked"),ROW(),""))</f>
        <v/>
      </c>
    </row>
    <row r="96" customFormat="false" ht="15" hidden="false" customHeight="false" outlineLevel="0" collapsed="false">
      <c r="B96" s="3"/>
      <c r="F96" s="3"/>
      <c r="G96" s="3"/>
      <c r="H96" s="3"/>
      <c r="I96" s="3"/>
      <c r="J96" s="37" t="str">
        <f aca="false">IF($A96="","",IFERROR(INDEX(Lists!$B$2:$B$10,MATCH($I96,Lists!$A$2:$A$10,0)),""))</f>
        <v/>
      </c>
      <c r="N96" s="0" t="str">
        <f aca="false">IF($A96="","",$L96-$K96+1)</f>
        <v/>
      </c>
      <c r="O96" s="39" t="str">
        <f aca="true">IF($A96="","",IF(OR($I96="Completed",$I96="Cancelled"),0,$L96-TODAY()))</f>
        <v/>
      </c>
      <c r="Q96" s="3"/>
      <c r="S96" s="0" t="str">
        <f aca="false">IF($A96="","",IF(AND($O96&lt;0,$I96&lt;&gt;"Completed",$I96&lt;&gt;"Cancelled"),1,0))</f>
        <v/>
      </c>
      <c r="T96" s="0" t="str">
        <f aca="false">IF($A96="","",IF($I96="Completed",ROW(),""))</f>
        <v/>
      </c>
      <c r="U96" s="0" t="str">
        <f aca="false">IF($A96="","",IF(OR($I96="Not Started",$I96="Planning",$I96="Blocked"),ROW(),""))</f>
        <v/>
      </c>
    </row>
    <row r="97" customFormat="false" ht="15" hidden="false" customHeight="false" outlineLevel="0" collapsed="false">
      <c r="B97" s="3"/>
      <c r="F97" s="3"/>
      <c r="G97" s="3"/>
      <c r="H97" s="3"/>
      <c r="I97" s="3"/>
      <c r="J97" s="37" t="str">
        <f aca="false">IF($A97="","",IFERROR(INDEX(Lists!$B$2:$B$10,MATCH($I97,Lists!$A$2:$A$10,0)),""))</f>
        <v/>
      </c>
      <c r="N97" s="0" t="str">
        <f aca="false">IF($A97="","",$L97-$K97+1)</f>
        <v/>
      </c>
      <c r="O97" s="39" t="str">
        <f aca="true">IF($A97="","",IF(OR($I97="Completed",$I97="Cancelled"),0,$L97-TODAY()))</f>
        <v/>
      </c>
      <c r="Q97" s="3"/>
      <c r="S97" s="0" t="str">
        <f aca="false">IF($A97="","",IF(AND($O97&lt;0,$I97&lt;&gt;"Completed",$I97&lt;&gt;"Cancelled"),1,0))</f>
        <v/>
      </c>
      <c r="T97" s="0" t="str">
        <f aca="false">IF($A97="","",IF($I97="Completed",ROW(),""))</f>
        <v/>
      </c>
      <c r="U97" s="0" t="str">
        <f aca="false">IF($A97="","",IF(OR($I97="Not Started",$I97="Planning",$I97="Blocked"),ROW(),""))</f>
        <v/>
      </c>
    </row>
    <row r="98" customFormat="false" ht="15" hidden="false" customHeight="false" outlineLevel="0" collapsed="false">
      <c r="B98" s="3"/>
      <c r="F98" s="3"/>
      <c r="G98" s="3"/>
      <c r="H98" s="3"/>
      <c r="I98" s="3"/>
      <c r="J98" s="37" t="str">
        <f aca="false">IF($A98="","",IFERROR(INDEX(Lists!$B$2:$B$10,MATCH($I98,Lists!$A$2:$A$10,0)),""))</f>
        <v/>
      </c>
      <c r="N98" s="0" t="str">
        <f aca="false">IF($A98="","",$L98-$K98+1)</f>
        <v/>
      </c>
      <c r="O98" s="39" t="str">
        <f aca="true">IF($A98="","",IF(OR($I98="Completed",$I98="Cancelled"),0,$L98-TODAY()))</f>
        <v/>
      </c>
      <c r="Q98" s="3"/>
      <c r="S98" s="0" t="str">
        <f aca="false">IF($A98="","",IF(AND($O98&lt;0,$I98&lt;&gt;"Completed",$I98&lt;&gt;"Cancelled"),1,0))</f>
        <v/>
      </c>
      <c r="T98" s="0" t="str">
        <f aca="false">IF($A98="","",IF($I98="Completed",ROW(),""))</f>
        <v/>
      </c>
      <c r="U98" s="0" t="str">
        <f aca="false">IF($A98="","",IF(OR($I98="Not Started",$I98="Planning",$I98="Blocked"),ROW(),""))</f>
        <v/>
      </c>
    </row>
    <row r="99" customFormat="false" ht="15" hidden="false" customHeight="false" outlineLevel="0" collapsed="false">
      <c r="B99" s="3"/>
      <c r="F99" s="3"/>
      <c r="G99" s="3"/>
      <c r="H99" s="3"/>
      <c r="I99" s="3"/>
      <c r="J99" s="37" t="str">
        <f aca="false">IF($A99="","",IFERROR(INDEX(Lists!$B$2:$B$10,MATCH($I99,Lists!$A$2:$A$10,0)),""))</f>
        <v/>
      </c>
      <c r="N99" s="0" t="str">
        <f aca="false">IF($A99="","",$L99-$K99+1)</f>
        <v/>
      </c>
      <c r="O99" s="39" t="str">
        <f aca="true">IF($A99="","",IF(OR($I99="Completed",$I99="Cancelled"),0,$L99-TODAY()))</f>
        <v/>
      </c>
      <c r="Q99" s="3"/>
      <c r="S99" s="0" t="str">
        <f aca="false">IF($A99="","",IF(AND($O99&lt;0,$I99&lt;&gt;"Completed",$I99&lt;&gt;"Cancelled"),1,0))</f>
        <v/>
      </c>
      <c r="T99" s="0" t="str">
        <f aca="false">IF($A99="","",IF($I99="Completed",ROW(),""))</f>
        <v/>
      </c>
      <c r="U99" s="0" t="str">
        <f aca="false">IF($A99="","",IF(OR($I99="Not Started",$I99="Planning",$I99="Blocked"),ROW(),""))</f>
        <v/>
      </c>
    </row>
    <row r="100" customFormat="false" ht="15" hidden="false" customHeight="false" outlineLevel="0" collapsed="false">
      <c r="B100" s="3"/>
      <c r="F100" s="3"/>
      <c r="G100" s="3"/>
      <c r="H100" s="3"/>
      <c r="I100" s="3"/>
      <c r="J100" s="37" t="str">
        <f aca="false">IF($A100="","",IFERROR(INDEX(Lists!$B$2:$B$10,MATCH($I100,Lists!$A$2:$A$10,0)),""))</f>
        <v/>
      </c>
      <c r="N100" s="0" t="str">
        <f aca="false">IF($A100="","",$L100-$K100+1)</f>
        <v/>
      </c>
      <c r="O100" s="39" t="str">
        <f aca="true">IF($A100="","",IF(OR($I100="Completed",$I100="Cancelled"),0,$L100-TODAY()))</f>
        <v/>
      </c>
      <c r="Q100" s="3"/>
      <c r="S100" s="0" t="str">
        <f aca="false">IF($A100="","",IF(AND($O100&lt;0,$I100&lt;&gt;"Completed",$I100&lt;&gt;"Cancelled"),1,0))</f>
        <v/>
      </c>
      <c r="T100" s="0" t="str">
        <f aca="false">IF($A100="","",IF($I100="Completed",ROW(),""))</f>
        <v/>
      </c>
      <c r="U100" s="0" t="str">
        <f aca="false">IF($A100="","",IF(OR($I100="Not Started",$I100="Planning",$I100="Blocked"),ROW(),""))</f>
        <v/>
      </c>
    </row>
    <row r="101" customFormat="false" ht="15" hidden="false" customHeight="false" outlineLevel="0" collapsed="false">
      <c r="B101" s="3"/>
      <c r="F101" s="3"/>
      <c r="G101" s="3"/>
      <c r="H101" s="3"/>
      <c r="I101" s="3"/>
      <c r="J101" s="37" t="str">
        <f aca="false">IF($A101="","",IFERROR(INDEX(Lists!$B$2:$B$10,MATCH($I101,Lists!$A$2:$A$10,0)),""))</f>
        <v/>
      </c>
      <c r="N101" s="0" t="str">
        <f aca="false">IF($A101="","",$L101-$K101+1)</f>
        <v/>
      </c>
      <c r="O101" s="39" t="str">
        <f aca="true">IF($A101="","",IF(OR($I101="Completed",$I101="Cancelled"),0,$L101-TODAY()))</f>
        <v/>
      </c>
      <c r="Q101" s="3"/>
      <c r="S101" s="0" t="str">
        <f aca="false">IF($A101="","",IF(AND($O101&lt;0,$I101&lt;&gt;"Completed",$I101&lt;&gt;"Cancelled"),1,0))</f>
        <v/>
      </c>
      <c r="T101" s="0" t="str">
        <f aca="false">IF($A101="","",IF($I101="Completed",ROW(),""))</f>
        <v/>
      </c>
      <c r="U101" s="0" t="str">
        <f aca="false">IF($A101="","",IF(OR($I101="Not Started",$I101="Planning",$I101="Blocked"),ROW(),""))</f>
        <v/>
      </c>
    </row>
    <row r="102" customFormat="false" ht="15" hidden="false" customHeight="false" outlineLevel="0" collapsed="false">
      <c r="B102" s="3"/>
      <c r="F102" s="3"/>
      <c r="G102" s="3"/>
      <c r="H102" s="3"/>
      <c r="I102" s="3"/>
      <c r="J102" s="37" t="str">
        <f aca="false">IF($A102="","",IFERROR(INDEX(Lists!$B$2:$B$10,MATCH($I102,Lists!$A$2:$A$10,0)),""))</f>
        <v/>
      </c>
      <c r="N102" s="0" t="str">
        <f aca="false">IF($A102="","",$L102-$K102+1)</f>
        <v/>
      </c>
      <c r="O102" s="39" t="str">
        <f aca="true">IF($A102="","",IF(OR($I102="Completed",$I102="Cancelled"),0,$L102-TODAY()))</f>
        <v/>
      </c>
      <c r="Q102" s="3"/>
      <c r="S102" s="0" t="str">
        <f aca="false">IF($A102="","",IF(AND($O102&lt;0,$I102&lt;&gt;"Completed",$I102&lt;&gt;"Cancelled"),1,0))</f>
        <v/>
      </c>
      <c r="T102" s="0" t="str">
        <f aca="false">IF($A102="","",IF($I102="Completed",ROW(),""))</f>
        <v/>
      </c>
      <c r="U102" s="0" t="str">
        <f aca="false">IF($A102="","",IF(OR($I102="Not Started",$I102="Planning",$I102="Blocked"),ROW(),""))</f>
        <v/>
      </c>
    </row>
    <row r="103" customFormat="false" ht="15" hidden="false" customHeight="false" outlineLevel="0" collapsed="false">
      <c r="B103" s="3"/>
      <c r="F103" s="3"/>
      <c r="G103" s="3"/>
      <c r="H103" s="3"/>
      <c r="I103" s="3"/>
      <c r="J103" s="37" t="str">
        <f aca="false">IF($A103="","",IFERROR(INDEX(Lists!$B$2:$B$10,MATCH($I103,Lists!$A$2:$A$10,0)),""))</f>
        <v/>
      </c>
      <c r="N103" s="0" t="str">
        <f aca="false">IF($A103="","",$L103-$K103+1)</f>
        <v/>
      </c>
      <c r="O103" s="39" t="str">
        <f aca="true">IF($A103="","",IF(OR($I103="Completed",$I103="Cancelled"),0,$L103-TODAY()))</f>
        <v/>
      </c>
      <c r="Q103" s="3"/>
      <c r="S103" s="0" t="str">
        <f aca="false">IF($A103="","",IF(AND($O103&lt;0,$I103&lt;&gt;"Completed",$I103&lt;&gt;"Cancelled"),1,0))</f>
        <v/>
      </c>
      <c r="T103" s="0" t="str">
        <f aca="false">IF($A103="","",IF($I103="Completed",ROW(),""))</f>
        <v/>
      </c>
      <c r="U103" s="0" t="str">
        <f aca="false">IF($A103="","",IF(OR($I103="Not Started",$I103="Planning",$I103="Blocked"),ROW(),""))</f>
        <v/>
      </c>
    </row>
    <row r="104" customFormat="false" ht="15" hidden="false" customHeight="false" outlineLevel="0" collapsed="false">
      <c r="B104" s="3"/>
      <c r="F104" s="3"/>
      <c r="G104" s="3"/>
      <c r="H104" s="3"/>
      <c r="I104" s="3"/>
      <c r="J104" s="37" t="str">
        <f aca="false">IF($A104="","",IFERROR(INDEX(Lists!$B$2:$B$10,MATCH($I104,Lists!$A$2:$A$10,0)),""))</f>
        <v/>
      </c>
      <c r="N104" s="0" t="str">
        <f aca="false">IF($A104="","",$L104-$K104+1)</f>
        <v/>
      </c>
      <c r="O104" s="39" t="str">
        <f aca="true">IF($A104="","",IF(OR($I104="Completed",$I104="Cancelled"),0,$L104-TODAY()))</f>
        <v/>
      </c>
      <c r="Q104" s="3"/>
      <c r="S104" s="0" t="str">
        <f aca="false">IF($A104="","",IF(AND($O104&lt;0,$I104&lt;&gt;"Completed",$I104&lt;&gt;"Cancelled"),1,0))</f>
        <v/>
      </c>
      <c r="T104" s="0" t="str">
        <f aca="false">IF($A104="","",IF($I104="Completed",ROW(),""))</f>
        <v/>
      </c>
      <c r="U104" s="0" t="str">
        <f aca="false">IF($A104="","",IF(OR($I104="Not Started",$I104="Planning",$I104="Blocked"),ROW(),""))</f>
        <v/>
      </c>
    </row>
    <row r="105" customFormat="false" ht="15" hidden="false" customHeight="false" outlineLevel="0" collapsed="false">
      <c r="B105" s="3"/>
      <c r="F105" s="3"/>
      <c r="G105" s="3"/>
      <c r="H105" s="3"/>
      <c r="I105" s="3"/>
      <c r="J105" s="37" t="str">
        <f aca="false">IF($A105="","",IFERROR(INDEX(Lists!$B$2:$B$10,MATCH($I105,Lists!$A$2:$A$10,0)),""))</f>
        <v/>
      </c>
      <c r="N105" s="0" t="str">
        <f aca="false">IF($A105="","",$L105-$K105+1)</f>
        <v/>
      </c>
      <c r="O105" s="39" t="str">
        <f aca="true">IF($A105="","",IF(OR($I105="Completed",$I105="Cancelled"),0,$L105-TODAY()))</f>
        <v/>
      </c>
      <c r="Q105" s="3"/>
      <c r="S105" s="0" t="str">
        <f aca="false">IF($A105="","",IF(AND($O105&lt;0,$I105&lt;&gt;"Completed",$I105&lt;&gt;"Cancelled"),1,0))</f>
        <v/>
      </c>
      <c r="T105" s="0" t="str">
        <f aca="false">IF($A105="","",IF($I105="Completed",ROW(),""))</f>
        <v/>
      </c>
      <c r="U105" s="0" t="str">
        <f aca="false">IF($A105="","",IF(OR($I105="Not Started",$I105="Planning",$I105="Blocked"),ROW(),""))</f>
        <v/>
      </c>
    </row>
    <row r="106" customFormat="false" ht="15" hidden="false" customHeight="false" outlineLevel="0" collapsed="false">
      <c r="B106" s="3"/>
      <c r="F106" s="3"/>
      <c r="G106" s="3"/>
      <c r="H106" s="3"/>
      <c r="I106" s="3"/>
      <c r="J106" s="37" t="str">
        <f aca="false">IF($A106="","",IFERROR(INDEX(Lists!$B$2:$B$10,MATCH($I106,Lists!$A$2:$A$10,0)),""))</f>
        <v/>
      </c>
      <c r="N106" s="0" t="str">
        <f aca="false">IF($A106="","",$L106-$K106+1)</f>
        <v/>
      </c>
      <c r="O106" s="39" t="str">
        <f aca="true">IF($A106="","",IF(OR($I106="Completed",$I106="Cancelled"),0,$L106-TODAY()))</f>
        <v/>
      </c>
      <c r="Q106" s="3"/>
      <c r="S106" s="0" t="str">
        <f aca="false">IF($A106="","",IF(AND($O106&lt;0,$I106&lt;&gt;"Completed",$I106&lt;&gt;"Cancelled"),1,0))</f>
        <v/>
      </c>
      <c r="T106" s="0" t="str">
        <f aca="false">IF($A106="","",IF($I106="Completed",ROW(),""))</f>
        <v/>
      </c>
      <c r="U106" s="0" t="str">
        <f aca="false">IF($A106="","",IF(OR($I106="Not Started",$I106="Planning",$I106="Blocked"),ROW(),""))</f>
        <v/>
      </c>
    </row>
    <row r="107" customFormat="false" ht="15" hidden="false" customHeight="false" outlineLevel="0" collapsed="false">
      <c r="B107" s="3"/>
      <c r="F107" s="3"/>
      <c r="G107" s="3"/>
      <c r="H107" s="3"/>
      <c r="I107" s="3"/>
      <c r="J107" s="37" t="str">
        <f aca="false">IF($A107="","",IFERROR(INDEX(Lists!$B$2:$B$10,MATCH($I107,Lists!$A$2:$A$10,0)),""))</f>
        <v/>
      </c>
      <c r="N107" s="0" t="str">
        <f aca="false">IF($A107="","",$L107-$K107+1)</f>
        <v/>
      </c>
      <c r="O107" s="39" t="str">
        <f aca="true">IF($A107="","",IF(OR($I107="Completed",$I107="Cancelled"),0,$L107-TODAY()))</f>
        <v/>
      </c>
      <c r="Q107" s="3"/>
      <c r="S107" s="0" t="str">
        <f aca="false">IF($A107="","",IF(AND($O107&lt;0,$I107&lt;&gt;"Completed",$I107&lt;&gt;"Cancelled"),1,0))</f>
        <v/>
      </c>
      <c r="T107" s="0" t="str">
        <f aca="false">IF($A107="","",IF($I107="Completed",ROW(),""))</f>
        <v/>
      </c>
      <c r="U107" s="0" t="str">
        <f aca="false">IF($A107="","",IF(OR($I107="Not Started",$I107="Planning",$I107="Blocked"),ROW(),""))</f>
        <v/>
      </c>
    </row>
    <row r="108" customFormat="false" ht="15" hidden="false" customHeight="false" outlineLevel="0" collapsed="false">
      <c r="B108" s="3"/>
      <c r="F108" s="3"/>
      <c r="G108" s="3"/>
      <c r="H108" s="3"/>
      <c r="I108" s="3"/>
      <c r="J108" s="37" t="str">
        <f aca="false">IF($A108="","",IFERROR(INDEX(Lists!$B$2:$B$10,MATCH($I108,Lists!$A$2:$A$10,0)),""))</f>
        <v/>
      </c>
      <c r="N108" s="0" t="str">
        <f aca="false">IF($A108="","",$L108-$K108+1)</f>
        <v/>
      </c>
      <c r="O108" s="39" t="str">
        <f aca="true">IF($A108="","",IF(OR($I108="Completed",$I108="Cancelled"),0,$L108-TODAY()))</f>
        <v/>
      </c>
      <c r="Q108" s="3"/>
      <c r="S108" s="0" t="str">
        <f aca="false">IF($A108="","",IF(AND($O108&lt;0,$I108&lt;&gt;"Completed",$I108&lt;&gt;"Cancelled"),1,0))</f>
        <v/>
      </c>
      <c r="T108" s="0" t="str">
        <f aca="false">IF($A108="","",IF($I108="Completed",ROW(),""))</f>
        <v/>
      </c>
      <c r="U108" s="0" t="str">
        <f aca="false">IF($A108="","",IF(OR($I108="Not Started",$I108="Planning",$I108="Blocked"),ROW(),""))</f>
        <v/>
      </c>
    </row>
    <row r="109" customFormat="false" ht="15" hidden="false" customHeight="false" outlineLevel="0" collapsed="false">
      <c r="B109" s="3"/>
      <c r="F109" s="3"/>
      <c r="G109" s="3"/>
      <c r="H109" s="3"/>
      <c r="I109" s="3"/>
      <c r="J109" s="37" t="str">
        <f aca="false">IF($A109="","",IFERROR(INDEX(Lists!$B$2:$B$10,MATCH($I109,Lists!$A$2:$A$10,0)),""))</f>
        <v/>
      </c>
      <c r="N109" s="0" t="str">
        <f aca="false">IF($A109="","",$L109-$K109+1)</f>
        <v/>
      </c>
      <c r="O109" s="39" t="str">
        <f aca="true">IF($A109="","",IF(OR($I109="Completed",$I109="Cancelled"),0,$L109-TODAY()))</f>
        <v/>
      </c>
      <c r="Q109" s="3"/>
      <c r="S109" s="0" t="str">
        <f aca="false">IF($A109="","",IF(AND($O109&lt;0,$I109&lt;&gt;"Completed",$I109&lt;&gt;"Cancelled"),1,0))</f>
        <v/>
      </c>
      <c r="T109" s="0" t="str">
        <f aca="false">IF($A109="","",IF($I109="Completed",ROW(),""))</f>
        <v/>
      </c>
      <c r="U109" s="0" t="str">
        <f aca="false">IF($A109="","",IF(OR($I109="Not Started",$I109="Planning",$I109="Blocked"),ROW(),""))</f>
        <v/>
      </c>
    </row>
    <row r="110" customFormat="false" ht="15" hidden="false" customHeight="false" outlineLevel="0" collapsed="false">
      <c r="B110" s="3"/>
      <c r="F110" s="3"/>
      <c r="G110" s="3"/>
      <c r="H110" s="3"/>
      <c r="I110" s="3"/>
      <c r="J110" s="37" t="str">
        <f aca="false">IF($A110="","",IFERROR(INDEX(Lists!$B$2:$B$10,MATCH($I110,Lists!$A$2:$A$10,0)),""))</f>
        <v/>
      </c>
      <c r="N110" s="0" t="str">
        <f aca="false">IF($A110="","",$L110-$K110+1)</f>
        <v/>
      </c>
      <c r="O110" s="39" t="str">
        <f aca="true">IF($A110="","",IF(OR($I110="Completed",$I110="Cancelled"),0,$L110-TODAY()))</f>
        <v/>
      </c>
      <c r="Q110" s="3"/>
      <c r="S110" s="0" t="str">
        <f aca="false">IF($A110="","",IF(AND($O110&lt;0,$I110&lt;&gt;"Completed",$I110&lt;&gt;"Cancelled"),1,0))</f>
        <v/>
      </c>
      <c r="T110" s="0" t="str">
        <f aca="false">IF($A110="","",IF($I110="Completed",ROW(),""))</f>
        <v/>
      </c>
      <c r="U110" s="0" t="str">
        <f aca="false">IF($A110="","",IF(OR($I110="Not Started",$I110="Planning",$I110="Blocked"),ROW(),""))</f>
        <v/>
      </c>
    </row>
    <row r="111" customFormat="false" ht="15" hidden="false" customHeight="false" outlineLevel="0" collapsed="false">
      <c r="B111" s="3"/>
      <c r="F111" s="3"/>
      <c r="G111" s="3"/>
      <c r="H111" s="3"/>
      <c r="I111" s="3"/>
      <c r="J111" s="37" t="str">
        <f aca="false">IF($A111="","",IFERROR(INDEX(Lists!$B$2:$B$10,MATCH($I111,Lists!$A$2:$A$10,0)),""))</f>
        <v/>
      </c>
      <c r="N111" s="0" t="str">
        <f aca="false">IF($A111="","",$L111-$K111+1)</f>
        <v/>
      </c>
      <c r="O111" s="39" t="str">
        <f aca="true">IF($A111="","",IF(OR($I111="Completed",$I111="Cancelled"),0,$L111-TODAY()))</f>
        <v/>
      </c>
      <c r="Q111" s="3"/>
      <c r="S111" s="0" t="str">
        <f aca="false">IF($A111="","",IF(AND($O111&lt;0,$I111&lt;&gt;"Completed",$I111&lt;&gt;"Cancelled"),1,0))</f>
        <v/>
      </c>
      <c r="T111" s="0" t="str">
        <f aca="false">IF($A111="","",IF($I111="Completed",ROW(),""))</f>
        <v/>
      </c>
      <c r="U111" s="0" t="str">
        <f aca="false">IF($A111="","",IF(OR($I111="Not Started",$I111="Planning",$I111="Blocked"),ROW(),""))</f>
        <v/>
      </c>
    </row>
    <row r="112" customFormat="false" ht="15" hidden="false" customHeight="false" outlineLevel="0" collapsed="false">
      <c r="B112" s="3"/>
      <c r="F112" s="3"/>
      <c r="G112" s="3"/>
      <c r="H112" s="3"/>
      <c r="I112" s="3"/>
      <c r="J112" s="37" t="str">
        <f aca="false">IF($A112="","",IFERROR(INDEX(Lists!$B$2:$B$10,MATCH($I112,Lists!$A$2:$A$10,0)),""))</f>
        <v/>
      </c>
      <c r="N112" s="0" t="str">
        <f aca="false">IF($A112="","",$L112-$K112+1)</f>
        <v/>
      </c>
      <c r="O112" s="39" t="str">
        <f aca="true">IF($A112="","",IF(OR($I112="Completed",$I112="Cancelled"),0,$L112-TODAY()))</f>
        <v/>
      </c>
      <c r="Q112" s="3"/>
      <c r="S112" s="0" t="str">
        <f aca="false">IF($A112="","",IF(AND($O112&lt;0,$I112&lt;&gt;"Completed",$I112&lt;&gt;"Cancelled"),1,0))</f>
        <v/>
      </c>
      <c r="T112" s="0" t="str">
        <f aca="false">IF($A112="","",IF($I112="Completed",ROW(),""))</f>
        <v/>
      </c>
      <c r="U112" s="0" t="str">
        <f aca="false">IF($A112="","",IF(OR($I112="Not Started",$I112="Planning",$I112="Blocked"),ROW(),""))</f>
        <v/>
      </c>
    </row>
    <row r="113" customFormat="false" ht="15" hidden="false" customHeight="false" outlineLevel="0" collapsed="false">
      <c r="B113" s="3"/>
      <c r="F113" s="3"/>
      <c r="G113" s="3"/>
      <c r="H113" s="3"/>
      <c r="I113" s="3"/>
      <c r="J113" s="37" t="str">
        <f aca="false">IF($A113="","",IFERROR(INDEX(Lists!$B$2:$B$10,MATCH($I113,Lists!$A$2:$A$10,0)),""))</f>
        <v/>
      </c>
      <c r="N113" s="0" t="str">
        <f aca="false">IF($A113="","",$L113-$K113+1)</f>
        <v/>
      </c>
      <c r="O113" s="39" t="str">
        <f aca="true">IF($A113="","",IF(OR($I113="Completed",$I113="Cancelled"),0,$L113-TODAY()))</f>
        <v/>
      </c>
      <c r="Q113" s="3"/>
      <c r="S113" s="0" t="str">
        <f aca="false">IF($A113="","",IF(AND($O113&lt;0,$I113&lt;&gt;"Completed",$I113&lt;&gt;"Cancelled"),1,0))</f>
        <v/>
      </c>
      <c r="T113" s="0" t="str">
        <f aca="false">IF($A113="","",IF($I113="Completed",ROW(),""))</f>
        <v/>
      </c>
      <c r="U113" s="0" t="str">
        <f aca="false">IF($A113="","",IF(OR($I113="Not Started",$I113="Planning",$I113="Blocked"),ROW(),""))</f>
        <v/>
      </c>
    </row>
    <row r="114" customFormat="false" ht="15" hidden="false" customHeight="false" outlineLevel="0" collapsed="false">
      <c r="B114" s="3"/>
      <c r="F114" s="3"/>
      <c r="G114" s="3"/>
      <c r="H114" s="3"/>
      <c r="I114" s="3"/>
      <c r="J114" s="37" t="str">
        <f aca="false">IF($A114="","",IFERROR(INDEX(Lists!$B$2:$B$10,MATCH($I114,Lists!$A$2:$A$10,0)),""))</f>
        <v/>
      </c>
      <c r="N114" s="0" t="str">
        <f aca="false">IF($A114="","",$L114-$K114+1)</f>
        <v/>
      </c>
      <c r="O114" s="39" t="str">
        <f aca="true">IF($A114="","",IF(OR($I114="Completed",$I114="Cancelled"),0,$L114-TODAY()))</f>
        <v/>
      </c>
      <c r="Q114" s="3"/>
      <c r="S114" s="0" t="str">
        <f aca="false">IF($A114="","",IF(AND($O114&lt;0,$I114&lt;&gt;"Completed",$I114&lt;&gt;"Cancelled"),1,0))</f>
        <v/>
      </c>
      <c r="T114" s="0" t="str">
        <f aca="false">IF($A114="","",IF($I114="Completed",ROW(),""))</f>
        <v/>
      </c>
      <c r="U114" s="0" t="str">
        <f aca="false">IF($A114="","",IF(OR($I114="Not Started",$I114="Planning",$I114="Blocked"),ROW(),""))</f>
        <v/>
      </c>
    </row>
    <row r="115" customFormat="false" ht="15" hidden="false" customHeight="false" outlineLevel="0" collapsed="false">
      <c r="B115" s="3"/>
      <c r="F115" s="3"/>
      <c r="G115" s="3"/>
      <c r="H115" s="3"/>
      <c r="I115" s="3"/>
      <c r="J115" s="37" t="str">
        <f aca="false">IF($A115="","",IFERROR(INDEX(Lists!$B$2:$B$10,MATCH($I115,Lists!$A$2:$A$10,0)),""))</f>
        <v/>
      </c>
      <c r="N115" s="0" t="str">
        <f aca="false">IF($A115="","",$L115-$K115+1)</f>
        <v/>
      </c>
      <c r="O115" s="39" t="str">
        <f aca="true">IF($A115="","",IF(OR($I115="Completed",$I115="Cancelled"),0,$L115-TODAY()))</f>
        <v/>
      </c>
      <c r="Q115" s="3"/>
      <c r="S115" s="0" t="str">
        <f aca="false">IF($A115="","",IF(AND($O115&lt;0,$I115&lt;&gt;"Completed",$I115&lt;&gt;"Cancelled"),1,0))</f>
        <v/>
      </c>
      <c r="T115" s="0" t="str">
        <f aca="false">IF($A115="","",IF($I115="Completed",ROW(),""))</f>
        <v/>
      </c>
      <c r="U115" s="0" t="str">
        <f aca="false">IF($A115="","",IF(OR($I115="Not Started",$I115="Planning",$I115="Blocked"),ROW(),""))</f>
        <v/>
      </c>
    </row>
    <row r="116" customFormat="false" ht="15" hidden="false" customHeight="false" outlineLevel="0" collapsed="false">
      <c r="B116" s="3"/>
      <c r="F116" s="3"/>
      <c r="G116" s="3"/>
      <c r="H116" s="3"/>
      <c r="I116" s="3"/>
      <c r="J116" s="37" t="str">
        <f aca="false">IF($A116="","",IFERROR(INDEX(Lists!$B$2:$B$10,MATCH($I116,Lists!$A$2:$A$10,0)),""))</f>
        <v/>
      </c>
      <c r="N116" s="0" t="str">
        <f aca="false">IF($A116="","",$L116-$K116+1)</f>
        <v/>
      </c>
      <c r="O116" s="39" t="str">
        <f aca="true">IF($A116="","",IF(OR($I116="Completed",$I116="Cancelled"),0,$L116-TODAY()))</f>
        <v/>
      </c>
      <c r="Q116" s="3"/>
      <c r="S116" s="0" t="str">
        <f aca="false">IF($A116="","",IF(AND($O116&lt;0,$I116&lt;&gt;"Completed",$I116&lt;&gt;"Cancelled"),1,0))</f>
        <v/>
      </c>
      <c r="T116" s="0" t="str">
        <f aca="false">IF($A116="","",IF($I116="Completed",ROW(),""))</f>
        <v/>
      </c>
      <c r="U116" s="0" t="str">
        <f aca="false">IF($A116="","",IF(OR($I116="Not Started",$I116="Planning",$I116="Blocked"),ROW(),""))</f>
        <v/>
      </c>
    </row>
    <row r="117" customFormat="false" ht="15" hidden="false" customHeight="false" outlineLevel="0" collapsed="false">
      <c r="B117" s="3"/>
      <c r="F117" s="3"/>
      <c r="G117" s="3"/>
      <c r="H117" s="3"/>
      <c r="I117" s="3"/>
      <c r="J117" s="37" t="str">
        <f aca="false">IF($A117="","",IFERROR(INDEX(Lists!$B$2:$B$10,MATCH($I117,Lists!$A$2:$A$10,0)),""))</f>
        <v/>
      </c>
      <c r="N117" s="0" t="str">
        <f aca="false">IF($A117="","",$L117-$K117+1)</f>
        <v/>
      </c>
      <c r="O117" s="39" t="str">
        <f aca="true">IF($A117="","",IF(OR($I117="Completed",$I117="Cancelled"),0,$L117-TODAY()))</f>
        <v/>
      </c>
      <c r="Q117" s="3"/>
      <c r="S117" s="0" t="str">
        <f aca="false">IF($A117="","",IF(AND($O117&lt;0,$I117&lt;&gt;"Completed",$I117&lt;&gt;"Cancelled"),1,0))</f>
        <v/>
      </c>
      <c r="T117" s="0" t="str">
        <f aca="false">IF($A117="","",IF($I117="Completed",ROW(),""))</f>
        <v/>
      </c>
      <c r="U117" s="0" t="str">
        <f aca="false">IF($A117="","",IF(OR($I117="Not Started",$I117="Planning",$I117="Blocked"),ROW(),""))</f>
        <v/>
      </c>
    </row>
    <row r="118" customFormat="false" ht="15" hidden="false" customHeight="false" outlineLevel="0" collapsed="false">
      <c r="B118" s="3"/>
      <c r="F118" s="3"/>
      <c r="G118" s="3"/>
      <c r="H118" s="3"/>
      <c r="I118" s="3"/>
      <c r="J118" s="37" t="str">
        <f aca="false">IF($A118="","",IFERROR(INDEX(Lists!$B$2:$B$10,MATCH($I118,Lists!$A$2:$A$10,0)),""))</f>
        <v/>
      </c>
      <c r="N118" s="0" t="str">
        <f aca="false">IF($A118="","",$L118-$K118+1)</f>
        <v/>
      </c>
      <c r="O118" s="39" t="str">
        <f aca="true">IF($A118="","",IF(OR($I118="Completed",$I118="Cancelled"),0,$L118-TODAY()))</f>
        <v/>
      </c>
      <c r="Q118" s="3"/>
      <c r="S118" s="0" t="str">
        <f aca="false">IF($A118="","",IF(AND($O118&lt;0,$I118&lt;&gt;"Completed",$I118&lt;&gt;"Cancelled"),1,0))</f>
        <v/>
      </c>
      <c r="T118" s="0" t="str">
        <f aca="false">IF($A118="","",IF($I118="Completed",ROW(),""))</f>
        <v/>
      </c>
      <c r="U118" s="0" t="str">
        <f aca="false">IF($A118="","",IF(OR($I118="Not Started",$I118="Planning",$I118="Blocked"),ROW(),""))</f>
        <v/>
      </c>
    </row>
    <row r="119" customFormat="false" ht="15" hidden="false" customHeight="false" outlineLevel="0" collapsed="false">
      <c r="B119" s="3"/>
      <c r="F119" s="3"/>
      <c r="G119" s="3"/>
      <c r="H119" s="3"/>
      <c r="I119" s="3"/>
      <c r="J119" s="37" t="str">
        <f aca="false">IF($A119="","",IFERROR(INDEX(Lists!$B$2:$B$10,MATCH($I119,Lists!$A$2:$A$10,0)),""))</f>
        <v/>
      </c>
      <c r="N119" s="0" t="str">
        <f aca="false">IF($A119="","",$L119-$K119+1)</f>
        <v/>
      </c>
      <c r="O119" s="39" t="str">
        <f aca="true">IF($A119="","",IF(OR($I119="Completed",$I119="Cancelled"),0,$L119-TODAY()))</f>
        <v/>
      </c>
      <c r="Q119" s="3"/>
      <c r="S119" s="0" t="str">
        <f aca="false">IF($A119="","",IF(AND($O119&lt;0,$I119&lt;&gt;"Completed",$I119&lt;&gt;"Cancelled"),1,0))</f>
        <v/>
      </c>
      <c r="T119" s="0" t="str">
        <f aca="false">IF($A119="","",IF($I119="Completed",ROW(),""))</f>
        <v/>
      </c>
      <c r="U119" s="0" t="str">
        <f aca="false">IF($A119="","",IF(OR($I119="Not Started",$I119="Planning",$I119="Blocked"),ROW(),""))</f>
        <v/>
      </c>
    </row>
    <row r="120" customFormat="false" ht="15" hidden="false" customHeight="false" outlineLevel="0" collapsed="false">
      <c r="B120" s="3"/>
      <c r="F120" s="3"/>
      <c r="G120" s="3"/>
      <c r="H120" s="3"/>
      <c r="I120" s="3"/>
      <c r="J120" s="37" t="str">
        <f aca="false">IF($A120="","",IFERROR(INDEX(Lists!$B$2:$B$10,MATCH($I120,Lists!$A$2:$A$10,0)),""))</f>
        <v/>
      </c>
      <c r="N120" s="0" t="str">
        <f aca="false">IF($A120="","",$L120-$K120+1)</f>
        <v/>
      </c>
      <c r="O120" s="39" t="str">
        <f aca="true">IF($A120="","",IF(OR($I120="Completed",$I120="Cancelled"),0,$L120-TODAY()))</f>
        <v/>
      </c>
      <c r="Q120" s="3"/>
      <c r="S120" s="0" t="str">
        <f aca="false">IF($A120="","",IF(AND($O120&lt;0,$I120&lt;&gt;"Completed",$I120&lt;&gt;"Cancelled"),1,0))</f>
        <v/>
      </c>
      <c r="T120" s="0" t="str">
        <f aca="false">IF($A120="","",IF($I120="Completed",ROW(),""))</f>
        <v/>
      </c>
      <c r="U120" s="0" t="str">
        <f aca="false">IF($A120="","",IF(OR($I120="Not Started",$I120="Planning",$I120="Blocked"),ROW(),""))</f>
        <v/>
      </c>
    </row>
    <row r="121" customFormat="false" ht="15" hidden="false" customHeight="false" outlineLevel="0" collapsed="false">
      <c r="B121" s="3"/>
      <c r="F121" s="3"/>
      <c r="G121" s="3"/>
      <c r="H121" s="3"/>
      <c r="I121" s="3"/>
      <c r="J121" s="37" t="str">
        <f aca="false">IF($A121="","",IFERROR(INDEX(Lists!$B$2:$B$10,MATCH($I121,Lists!$A$2:$A$10,0)),""))</f>
        <v/>
      </c>
      <c r="N121" s="0" t="str">
        <f aca="false">IF($A121="","",$L121-$K121+1)</f>
        <v/>
      </c>
      <c r="O121" s="39" t="str">
        <f aca="true">IF($A121="","",IF(OR($I121="Completed",$I121="Cancelled"),0,$L121-TODAY()))</f>
        <v/>
      </c>
      <c r="Q121" s="3"/>
      <c r="S121" s="0" t="str">
        <f aca="false">IF($A121="","",IF(AND($O121&lt;0,$I121&lt;&gt;"Completed",$I121&lt;&gt;"Cancelled"),1,0))</f>
        <v/>
      </c>
      <c r="T121" s="0" t="str">
        <f aca="false">IF($A121="","",IF($I121="Completed",ROW(),""))</f>
        <v/>
      </c>
      <c r="U121" s="0" t="str">
        <f aca="false">IF($A121="","",IF(OR($I121="Not Started",$I121="Planning",$I121="Blocked"),ROW(),""))</f>
        <v/>
      </c>
    </row>
    <row r="122" customFormat="false" ht="15" hidden="false" customHeight="false" outlineLevel="0" collapsed="false">
      <c r="B122" s="3"/>
      <c r="F122" s="3"/>
      <c r="G122" s="3"/>
      <c r="H122" s="3"/>
      <c r="I122" s="3"/>
      <c r="J122" s="37" t="str">
        <f aca="false">IF($A122="","",IFERROR(INDEX(Lists!$B$2:$B$10,MATCH($I122,Lists!$A$2:$A$10,0)),""))</f>
        <v/>
      </c>
      <c r="N122" s="0" t="str">
        <f aca="false">IF($A122="","",$L122-$K122+1)</f>
        <v/>
      </c>
      <c r="O122" s="39" t="str">
        <f aca="true">IF($A122="","",IF(OR($I122="Completed",$I122="Cancelled"),0,$L122-TODAY()))</f>
        <v/>
      </c>
      <c r="Q122" s="3"/>
      <c r="S122" s="0" t="str">
        <f aca="false">IF($A122="","",IF(AND($O122&lt;0,$I122&lt;&gt;"Completed",$I122&lt;&gt;"Cancelled"),1,0))</f>
        <v/>
      </c>
      <c r="T122" s="0" t="str">
        <f aca="false">IF($A122="","",IF($I122="Completed",ROW(),""))</f>
        <v/>
      </c>
      <c r="U122" s="0" t="str">
        <f aca="false">IF($A122="","",IF(OR($I122="Not Started",$I122="Planning",$I122="Blocked"),ROW(),""))</f>
        <v/>
      </c>
    </row>
    <row r="123" customFormat="false" ht="15" hidden="false" customHeight="false" outlineLevel="0" collapsed="false">
      <c r="B123" s="3"/>
      <c r="F123" s="3"/>
      <c r="G123" s="3"/>
      <c r="H123" s="3"/>
      <c r="I123" s="3"/>
      <c r="J123" s="37" t="str">
        <f aca="false">IF($A123="","",IFERROR(INDEX(Lists!$B$2:$B$10,MATCH($I123,Lists!$A$2:$A$10,0)),""))</f>
        <v/>
      </c>
      <c r="N123" s="0" t="str">
        <f aca="false">IF($A123="","",$L123-$K123+1)</f>
        <v/>
      </c>
      <c r="O123" s="39" t="str">
        <f aca="true">IF($A123="","",IF(OR($I123="Completed",$I123="Cancelled"),0,$L123-TODAY()))</f>
        <v/>
      </c>
      <c r="Q123" s="3"/>
      <c r="S123" s="0" t="str">
        <f aca="false">IF($A123="","",IF(AND($O123&lt;0,$I123&lt;&gt;"Completed",$I123&lt;&gt;"Cancelled"),1,0))</f>
        <v/>
      </c>
      <c r="T123" s="0" t="str">
        <f aca="false">IF($A123="","",IF($I123="Completed",ROW(),""))</f>
        <v/>
      </c>
      <c r="U123" s="0" t="str">
        <f aca="false">IF($A123="","",IF(OR($I123="Not Started",$I123="Planning",$I123="Blocked"),ROW(),""))</f>
        <v/>
      </c>
    </row>
    <row r="124" customFormat="false" ht="15" hidden="false" customHeight="false" outlineLevel="0" collapsed="false">
      <c r="B124" s="3"/>
      <c r="F124" s="3"/>
      <c r="G124" s="3"/>
      <c r="H124" s="3"/>
      <c r="I124" s="3"/>
      <c r="J124" s="37" t="str">
        <f aca="false">IF($A124="","",IFERROR(INDEX(Lists!$B$2:$B$10,MATCH($I124,Lists!$A$2:$A$10,0)),""))</f>
        <v/>
      </c>
      <c r="N124" s="0" t="str">
        <f aca="false">IF($A124="","",$L124-$K124+1)</f>
        <v/>
      </c>
      <c r="O124" s="39" t="str">
        <f aca="true">IF($A124="","",IF(OR($I124="Completed",$I124="Cancelled"),0,$L124-TODAY()))</f>
        <v/>
      </c>
      <c r="Q124" s="3"/>
      <c r="S124" s="0" t="str">
        <f aca="false">IF($A124="","",IF(AND($O124&lt;0,$I124&lt;&gt;"Completed",$I124&lt;&gt;"Cancelled"),1,0))</f>
        <v/>
      </c>
      <c r="T124" s="0" t="str">
        <f aca="false">IF($A124="","",IF($I124="Completed",ROW(),""))</f>
        <v/>
      </c>
      <c r="U124" s="0" t="str">
        <f aca="false">IF($A124="","",IF(OR($I124="Not Started",$I124="Planning",$I124="Blocked"),ROW(),""))</f>
        <v/>
      </c>
    </row>
    <row r="125" customFormat="false" ht="15" hidden="false" customHeight="false" outlineLevel="0" collapsed="false">
      <c r="B125" s="3"/>
      <c r="F125" s="3"/>
      <c r="G125" s="3"/>
      <c r="H125" s="3"/>
      <c r="I125" s="3"/>
      <c r="J125" s="37" t="str">
        <f aca="false">IF($A125="","",IFERROR(INDEX(Lists!$B$2:$B$10,MATCH($I125,Lists!$A$2:$A$10,0)),""))</f>
        <v/>
      </c>
      <c r="N125" s="0" t="str">
        <f aca="false">IF($A125="","",$L125-$K125+1)</f>
        <v/>
      </c>
      <c r="O125" s="39" t="str">
        <f aca="true">IF($A125="","",IF(OR($I125="Completed",$I125="Cancelled"),0,$L125-TODAY()))</f>
        <v/>
      </c>
      <c r="Q125" s="3"/>
      <c r="S125" s="0" t="str">
        <f aca="false">IF($A125="","",IF(AND($O125&lt;0,$I125&lt;&gt;"Completed",$I125&lt;&gt;"Cancelled"),1,0))</f>
        <v/>
      </c>
      <c r="T125" s="0" t="str">
        <f aca="false">IF($A125="","",IF($I125="Completed",ROW(),""))</f>
        <v/>
      </c>
      <c r="U125" s="0" t="str">
        <f aca="false">IF($A125="","",IF(OR($I125="Not Started",$I125="Planning",$I125="Blocked"),ROW(),""))</f>
        <v/>
      </c>
    </row>
    <row r="126" customFormat="false" ht="15" hidden="false" customHeight="false" outlineLevel="0" collapsed="false">
      <c r="B126" s="3"/>
      <c r="F126" s="3"/>
      <c r="G126" s="3"/>
      <c r="H126" s="3"/>
      <c r="I126" s="3"/>
      <c r="J126" s="37" t="str">
        <f aca="false">IF($A126="","",IFERROR(INDEX(Lists!$B$2:$B$10,MATCH($I126,Lists!$A$2:$A$10,0)),""))</f>
        <v/>
      </c>
      <c r="N126" s="0" t="str">
        <f aca="false">IF($A126="","",$L126-$K126+1)</f>
        <v/>
      </c>
      <c r="O126" s="39" t="str">
        <f aca="true">IF($A126="","",IF(OR($I126="Completed",$I126="Cancelled"),0,$L126-TODAY()))</f>
        <v/>
      </c>
      <c r="Q126" s="3"/>
      <c r="S126" s="0" t="str">
        <f aca="false">IF($A126="","",IF(AND($O126&lt;0,$I126&lt;&gt;"Completed",$I126&lt;&gt;"Cancelled"),1,0))</f>
        <v/>
      </c>
      <c r="T126" s="0" t="str">
        <f aca="false">IF($A126="","",IF($I126="Completed",ROW(),""))</f>
        <v/>
      </c>
      <c r="U126" s="0" t="str">
        <f aca="false">IF($A126="","",IF(OR($I126="Not Started",$I126="Planning",$I126="Blocked"),ROW(),""))</f>
        <v/>
      </c>
    </row>
    <row r="127" customFormat="false" ht="15" hidden="false" customHeight="false" outlineLevel="0" collapsed="false">
      <c r="B127" s="3"/>
      <c r="F127" s="3"/>
      <c r="G127" s="3"/>
      <c r="H127" s="3"/>
      <c r="I127" s="3"/>
      <c r="J127" s="37" t="str">
        <f aca="false">IF($A127="","",IFERROR(INDEX(Lists!$B$2:$B$10,MATCH($I127,Lists!$A$2:$A$10,0)),""))</f>
        <v/>
      </c>
      <c r="N127" s="0" t="str">
        <f aca="false">IF($A127="","",$L127-$K127+1)</f>
        <v/>
      </c>
      <c r="O127" s="39" t="str">
        <f aca="true">IF($A127="","",IF(OR($I127="Completed",$I127="Cancelled"),0,$L127-TODAY()))</f>
        <v/>
      </c>
      <c r="Q127" s="3"/>
      <c r="S127" s="0" t="str">
        <f aca="false">IF($A127="","",IF(AND($O127&lt;0,$I127&lt;&gt;"Completed",$I127&lt;&gt;"Cancelled"),1,0))</f>
        <v/>
      </c>
      <c r="T127" s="0" t="str">
        <f aca="false">IF($A127="","",IF($I127="Completed",ROW(),""))</f>
        <v/>
      </c>
      <c r="U127" s="0" t="str">
        <f aca="false">IF($A127="","",IF(OR($I127="Not Started",$I127="Planning",$I127="Blocked"),ROW(),""))</f>
        <v/>
      </c>
    </row>
    <row r="128" customFormat="false" ht="15" hidden="false" customHeight="false" outlineLevel="0" collapsed="false">
      <c r="B128" s="3"/>
      <c r="F128" s="3"/>
      <c r="G128" s="3"/>
      <c r="H128" s="3"/>
      <c r="I128" s="3"/>
      <c r="J128" s="37" t="str">
        <f aca="false">IF($A128="","",IFERROR(INDEX(Lists!$B$2:$B$10,MATCH($I128,Lists!$A$2:$A$10,0)),""))</f>
        <v/>
      </c>
      <c r="N128" s="0" t="str">
        <f aca="false">IF($A128="","",$L128-$K128+1)</f>
        <v/>
      </c>
      <c r="O128" s="39" t="str">
        <f aca="true">IF($A128="","",IF(OR($I128="Completed",$I128="Cancelled"),0,$L128-TODAY()))</f>
        <v/>
      </c>
      <c r="Q128" s="3"/>
      <c r="S128" s="0" t="str">
        <f aca="false">IF($A128="","",IF(AND($O128&lt;0,$I128&lt;&gt;"Completed",$I128&lt;&gt;"Cancelled"),1,0))</f>
        <v/>
      </c>
      <c r="T128" s="0" t="str">
        <f aca="false">IF($A128="","",IF($I128="Completed",ROW(),""))</f>
        <v/>
      </c>
      <c r="U128" s="0" t="str">
        <f aca="false">IF($A128="","",IF(OR($I128="Not Started",$I128="Planning",$I128="Blocked"),ROW(),""))</f>
        <v/>
      </c>
    </row>
    <row r="129" customFormat="false" ht="15" hidden="false" customHeight="false" outlineLevel="0" collapsed="false">
      <c r="B129" s="3"/>
      <c r="F129" s="3"/>
      <c r="G129" s="3"/>
      <c r="H129" s="3"/>
      <c r="I129" s="3"/>
      <c r="J129" s="37" t="str">
        <f aca="false">IF($A129="","",IFERROR(INDEX(Lists!$B$2:$B$10,MATCH($I129,Lists!$A$2:$A$10,0)),""))</f>
        <v/>
      </c>
      <c r="N129" s="0" t="str">
        <f aca="false">IF($A129="","",$L129-$K129+1)</f>
        <v/>
      </c>
      <c r="O129" s="39" t="str">
        <f aca="true">IF($A129="","",IF(OR($I129="Completed",$I129="Cancelled"),0,$L129-TODAY()))</f>
        <v/>
      </c>
      <c r="Q129" s="3"/>
      <c r="S129" s="0" t="str">
        <f aca="false">IF($A129="","",IF(AND($O129&lt;0,$I129&lt;&gt;"Completed",$I129&lt;&gt;"Cancelled"),1,0))</f>
        <v/>
      </c>
      <c r="T129" s="0" t="str">
        <f aca="false">IF($A129="","",IF($I129="Completed",ROW(),""))</f>
        <v/>
      </c>
      <c r="U129" s="0" t="str">
        <f aca="false">IF($A129="","",IF(OR($I129="Not Started",$I129="Planning",$I129="Blocked"),ROW(),""))</f>
        <v/>
      </c>
    </row>
    <row r="130" customFormat="false" ht="15" hidden="false" customHeight="false" outlineLevel="0" collapsed="false">
      <c r="B130" s="3"/>
      <c r="F130" s="3"/>
      <c r="G130" s="3"/>
      <c r="H130" s="3"/>
      <c r="I130" s="3"/>
      <c r="J130" s="37" t="str">
        <f aca="false">IF($A130="","",IFERROR(INDEX(Lists!$B$2:$B$10,MATCH($I130,Lists!$A$2:$A$10,0)),""))</f>
        <v/>
      </c>
      <c r="N130" s="0" t="str">
        <f aca="false">IF($A130="","",$L130-$K130+1)</f>
        <v/>
      </c>
      <c r="O130" s="39" t="str">
        <f aca="true">IF($A130="","",IF(OR($I130="Completed",$I130="Cancelled"),0,$L130-TODAY()))</f>
        <v/>
      </c>
      <c r="Q130" s="3"/>
      <c r="S130" s="0" t="str">
        <f aca="false">IF($A130="","",IF(AND($O130&lt;0,$I130&lt;&gt;"Completed",$I130&lt;&gt;"Cancelled"),1,0))</f>
        <v/>
      </c>
      <c r="T130" s="0" t="str">
        <f aca="false">IF($A130="","",IF($I130="Completed",ROW(),""))</f>
        <v/>
      </c>
      <c r="U130" s="0" t="str">
        <f aca="false">IF($A130="","",IF(OR($I130="Not Started",$I130="Planning",$I130="Blocked"),ROW(),""))</f>
        <v/>
      </c>
    </row>
    <row r="131" customFormat="false" ht="15" hidden="false" customHeight="false" outlineLevel="0" collapsed="false">
      <c r="B131" s="3"/>
      <c r="F131" s="3"/>
      <c r="G131" s="3"/>
      <c r="H131" s="3"/>
      <c r="I131" s="3"/>
      <c r="J131" s="37" t="str">
        <f aca="false">IF($A131="","",IFERROR(INDEX(Lists!$B$2:$B$10,MATCH($I131,Lists!$A$2:$A$10,0)),""))</f>
        <v/>
      </c>
      <c r="N131" s="0" t="str">
        <f aca="false">IF($A131="","",$L131-$K131+1)</f>
        <v/>
      </c>
      <c r="O131" s="39" t="str">
        <f aca="true">IF($A131="","",IF(OR($I131="Completed",$I131="Cancelled"),0,$L131-TODAY()))</f>
        <v/>
      </c>
      <c r="Q131" s="3"/>
      <c r="S131" s="0" t="str">
        <f aca="false">IF($A131="","",IF(AND($O131&lt;0,$I131&lt;&gt;"Completed",$I131&lt;&gt;"Cancelled"),1,0))</f>
        <v/>
      </c>
      <c r="T131" s="0" t="str">
        <f aca="false">IF($A131="","",IF($I131="Completed",ROW(),""))</f>
        <v/>
      </c>
      <c r="U131" s="0" t="str">
        <f aca="false">IF($A131="","",IF(OR($I131="Not Started",$I131="Planning",$I131="Blocked"),ROW(),""))</f>
        <v/>
      </c>
    </row>
    <row r="132" customFormat="false" ht="15" hidden="false" customHeight="false" outlineLevel="0" collapsed="false">
      <c r="B132" s="3"/>
      <c r="F132" s="3"/>
      <c r="G132" s="3"/>
      <c r="H132" s="3"/>
      <c r="I132" s="3"/>
      <c r="J132" s="37" t="str">
        <f aca="false">IF($A132="","",IFERROR(INDEX(Lists!$B$2:$B$10,MATCH($I132,Lists!$A$2:$A$10,0)),""))</f>
        <v/>
      </c>
      <c r="N132" s="0" t="str">
        <f aca="false">IF($A132="","",$L132-$K132+1)</f>
        <v/>
      </c>
      <c r="O132" s="39" t="str">
        <f aca="true">IF($A132="","",IF(OR($I132="Completed",$I132="Cancelled"),0,$L132-TODAY()))</f>
        <v/>
      </c>
      <c r="Q132" s="3"/>
      <c r="S132" s="0" t="str">
        <f aca="false">IF($A132="","",IF(AND($O132&lt;0,$I132&lt;&gt;"Completed",$I132&lt;&gt;"Cancelled"),1,0))</f>
        <v/>
      </c>
      <c r="T132" s="0" t="str">
        <f aca="false">IF($A132="","",IF($I132="Completed",ROW(),""))</f>
        <v/>
      </c>
      <c r="U132" s="0" t="str">
        <f aca="false">IF($A132="","",IF(OR($I132="Not Started",$I132="Planning",$I132="Blocked"),ROW(),""))</f>
        <v/>
      </c>
    </row>
    <row r="133" customFormat="false" ht="15" hidden="false" customHeight="false" outlineLevel="0" collapsed="false">
      <c r="B133" s="3"/>
      <c r="F133" s="3"/>
      <c r="G133" s="3"/>
      <c r="H133" s="3"/>
      <c r="I133" s="3"/>
      <c r="J133" s="37" t="str">
        <f aca="false">IF($A133="","",IFERROR(INDEX(Lists!$B$2:$B$10,MATCH($I133,Lists!$A$2:$A$10,0)),""))</f>
        <v/>
      </c>
      <c r="N133" s="0" t="str">
        <f aca="false">IF($A133="","",$L133-$K133+1)</f>
        <v/>
      </c>
      <c r="O133" s="39" t="str">
        <f aca="true">IF($A133="","",IF(OR($I133="Completed",$I133="Cancelled"),0,$L133-TODAY()))</f>
        <v/>
      </c>
      <c r="Q133" s="3"/>
      <c r="S133" s="0" t="str">
        <f aca="false">IF($A133="","",IF(AND($O133&lt;0,$I133&lt;&gt;"Completed",$I133&lt;&gt;"Cancelled"),1,0))</f>
        <v/>
      </c>
      <c r="T133" s="0" t="str">
        <f aca="false">IF($A133="","",IF($I133="Completed",ROW(),""))</f>
        <v/>
      </c>
      <c r="U133" s="0" t="str">
        <f aca="false">IF($A133="","",IF(OR($I133="Not Started",$I133="Planning",$I133="Blocked"),ROW(),""))</f>
        <v/>
      </c>
    </row>
    <row r="134" customFormat="false" ht="15" hidden="false" customHeight="false" outlineLevel="0" collapsed="false">
      <c r="B134" s="3"/>
      <c r="F134" s="3"/>
      <c r="G134" s="3"/>
      <c r="H134" s="3"/>
      <c r="I134" s="3"/>
      <c r="J134" s="37" t="str">
        <f aca="false">IF($A134="","",IFERROR(INDEX(Lists!$B$2:$B$10,MATCH($I134,Lists!$A$2:$A$10,0)),""))</f>
        <v/>
      </c>
      <c r="N134" s="0" t="str">
        <f aca="false">IF($A134="","",$L134-$K134+1)</f>
        <v/>
      </c>
      <c r="O134" s="39" t="str">
        <f aca="true">IF($A134="","",IF(OR($I134="Completed",$I134="Cancelled"),0,$L134-TODAY()))</f>
        <v/>
      </c>
      <c r="Q134" s="3"/>
      <c r="S134" s="0" t="str">
        <f aca="false">IF($A134="","",IF(AND($O134&lt;0,$I134&lt;&gt;"Completed",$I134&lt;&gt;"Cancelled"),1,0))</f>
        <v/>
      </c>
      <c r="T134" s="0" t="str">
        <f aca="false">IF($A134="","",IF($I134="Completed",ROW(),""))</f>
        <v/>
      </c>
      <c r="U134" s="0" t="str">
        <f aca="false">IF($A134="","",IF(OR($I134="Not Started",$I134="Planning",$I134="Blocked"),ROW(),""))</f>
        <v/>
      </c>
    </row>
    <row r="135" customFormat="false" ht="15" hidden="false" customHeight="false" outlineLevel="0" collapsed="false">
      <c r="B135" s="3"/>
      <c r="F135" s="3"/>
      <c r="G135" s="3"/>
      <c r="H135" s="3"/>
      <c r="I135" s="3"/>
      <c r="J135" s="37" t="str">
        <f aca="false">IF($A135="","",IFERROR(INDEX(Lists!$B$2:$B$10,MATCH($I135,Lists!$A$2:$A$10,0)),""))</f>
        <v/>
      </c>
      <c r="N135" s="0" t="str">
        <f aca="false">IF($A135="","",$L135-$K135+1)</f>
        <v/>
      </c>
      <c r="O135" s="39" t="str">
        <f aca="true">IF($A135="","",IF(OR($I135="Completed",$I135="Cancelled"),0,$L135-TODAY()))</f>
        <v/>
      </c>
      <c r="Q135" s="3"/>
      <c r="S135" s="0" t="str">
        <f aca="false">IF($A135="","",IF(AND($O135&lt;0,$I135&lt;&gt;"Completed",$I135&lt;&gt;"Cancelled"),1,0))</f>
        <v/>
      </c>
      <c r="T135" s="0" t="str">
        <f aca="false">IF($A135="","",IF($I135="Completed",ROW(),""))</f>
        <v/>
      </c>
      <c r="U135" s="0" t="str">
        <f aca="false">IF($A135="","",IF(OR($I135="Not Started",$I135="Planning",$I135="Blocked"),ROW(),""))</f>
        <v/>
      </c>
    </row>
    <row r="136" customFormat="false" ht="15" hidden="false" customHeight="false" outlineLevel="0" collapsed="false">
      <c r="B136" s="3"/>
      <c r="F136" s="3"/>
      <c r="G136" s="3"/>
      <c r="H136" s="3"/>
      <c r="I136" s="3"/>
      <c r="J136" s="37" t="str">
        <f aca="false">IF($A136="","",IFERROR(INDEX(Lists!$B$2:$B$10,MATCH($I136,Lists!$A$2:$A$10,0)),""))</f>
        <v/>
      </c>
      <c r="N136" s="0" t="str">
        <f aca="false">IF($A136="","",$L136-$K136+1)</f>
        <v/>
      </c>
      <c r="O136" s="39" t="str">
        <f aca="true">IF($A136="","",IF(OR($I136="Completed",$I136="Cancelled"),0,$L136-TODAY()))</f>
        <v/>
      </c>
      <c r="Q136" s="3"/>
      <c r="S136" s="0" t="str">
        <f aca="false">IF($A136="","",IF(AND($O136&lt;0,$I136&lt;&gt;"Completed",$I136&lt;&gt;"Cancelled"),1,0))</f>
        <v/>
      </c>
      <c r="T136" s="0" t="str">
        <f aca="false">IF($A136="","",IF($I136="Completed",ROW(),""))</f>
        <v/>
      </c>
      <c r="U136" s="0" t="str">
        <f aca="false">IF($A136="","",IF(OR($I136="Not Started",$I136="Planning",$I136="Blocked"),ROW(),""))</f>
        <v/>
      </c>
    </row>
    <row r="137" customFormat="false" ht="15" hidden="false" customHeight="false" outlineLevel="0" collapsed="false">
      <c r="B137" s="3"/>
      <c r="F137" s="3"/>
      <c r="G137" s="3"/>
      <c r="H137" s="3"/>
      <c r="I137" s="3"/>
      <c r="J137" s="37" t="str">
        <f aca="false">IF($A137="","",IFERROR(INDEX(Lists!$B$2:$B$10,MATCH($I137,Lists!$A$2:$A$10,0)),""))</f>
        <v/>
      </c>
      <c r="N137" s="0" t="str">
        <f aca="false">IF($A137="","",$L137-$K137+1)</f>
        <v/>
      </c>
      <c r="O137" s="39" t="str">
        <f aca="true">IF($A137="","",IF(OR($I137="Completed",$I137="Cancelled"),0,$L137-TODAY()))</f>
        <v/>
      </c>
      <c r="Q137" s="3"/>
      <c r="S137" s="0" t="str">
        <f aca="false">IF($A137="","",IF(AND($O137&lt;0,$I137&lt;&gt;"Completed",$I137&lt;&gt;"Cancelled"),1,0))</f>
        <v/>
      </c>
      <c r="T137" s="0" t="str">
        <f aca="false">IF($A137="","",IF($I137="Completed",ROW(),""))</f>
        <v/>
      </c>
      <c r="U137" s="0" t="str">
        <f aca="false">IF($A137="","",IF(OR($I137="Not Started",$I137="Planning",$I137="Blocked"),ROW(),""))</f>
        <v/>
      </c>
    </row>
    <row r="138" customFormat="false" ht="15" hidden="false" customHeight="false" outlineLevel="0" collapsed="false">
      <c r="B138" s="3"/>
      <c r="F138" s="3"/>
      <c r="G138" s="3"/>
      <c r="H138" s="3"/>
      <c r="I138" s="3"/>
      <c r="J138" s="37" t="str">
        <f aca="false">IF($A138="","",IFERROR(INDEX(Lists!$B$2:$B$10,MATCH($I138,Lists!$A$2:$A$10,0)),""))</f>
        <v/>
      </c>
      <c r="N138" s="0" t="str">
        <f aca="false">IF($A138="","",$L138-$K138+1)</f>
        <v/>
      </c>
      <c r="O138" s="39" t="str">
        <f aca="true">IF($A138="","",IF(OR($I138="Completed",$I138="Cancelled"),0,$L138-TODAY()))</f>
        <v/>
      </c>
      <c r="Q138" s="3"/>
      <c r="S138" s="0" t="str">
        <f aca="false">IF($A138="","",IF(AND($O138&lt;0,$I138&lt;&gt;"Completed",$I138&lt;&gt;"Cancelled"),1,0))</f>
        <v/>
      </c>
      <c r="T138" s="0" t="str">
        <f aca="false">IF($A138="","",IF($I138="Completed",ROW(),""))</f>
        <v/>
      </c>
      <c r="U138" s="0" t="str">
        <f aca="false">IF($A138="","",IF(OR($I138="Not Started",$I138="Planning",$I138="Blocked"),ROW(),""))</f>
        <v/>
      </c>
    </row>
    <row r="139" customFormat="false" ht="15" hidden="false" customHeight="false" outlineLevel="0" collapsed="false">
      <c r="B139" s="3"/>
      <c r="F139" s="3"/>
      <c r="G139" s="3"/>
      <c r="H139" s="3"/>
      <c r="I139" s="3"/>
      <c r="J139" s="37" t="str">
        <f aca="false">IF($A139="","",IFERROR(INDEX(Lists!$B$2:$B$10,MATCH($I139,Lists!$A$2:$A$10,0)),""))</f>
        <v/>
      </c>
      <c r="N139" s="0" t="str">
        <f aca="false">IF($A139="","",$L139-$K139+1)</f>
        <v/>
      </c>
      <c r="O139" s="39" t="str">
        <f aca="true">IF($A139="","",IF(OR($I139="Completed",$I139="Cancelled"),0,$L139-TODAY()))</f>
        <v/>
      </c>
      <c r="Q139" s="3"/>
      <c r="S139" s="0" t="str">
        <f aca="false">IF($A139="","",IF(AND($O139&lt;0,$I139&lt;&gt;"Completed",$I139&lt;&gt;"Cancelled"),1,0))</f>
        <v/>
      </c>
      <c r="T139" s="0" t="str">
        <f aca="false">IF($A139="","",IF($I139="Completed",ROW(),""))</f>
        <v/>
      </c>
      <c r="U139" s="0" t="str">
        <f aca="false">IF($A139="","",IF(OR($I139="Not Started",$I139="Planning",$I139="Blocked"),ROW(),""))</f>
        <v/>
      </c>
    </row>
    <row r="140" customFormat="false" ht="15" hidden="false" customHeight="false" outlineLevel="0" collapsed="false">
      <c r="B140" s="3"/>
      <c r="F140" s="3"/>
      <c r="G140" s="3"/>
      <c r="H140" s="3"/>
      <c r="I140" s="3"/>
      <c r="J140" s="37" t="str">
        <f aca="false">IF($A140="","",IFERROR(INDEX(Lists!$B$2:$B$10,MATCH($I140,Lists!$A$2:$A$10,0)),""))</f>
        <v/>
      </c>
      <c r="N140" s="0" t="str">
        <f aca="false">IF($A140="","",$L140-$K140+1)</f>
        <v/>
      </c>
      <c r="O140" s="39" t="str">
        <f aca="true">IF($A140="","",IF(OR($I140="Completed",$I140="Cancelled"),0,$L140-TODAY()))</f>
        <v/>
      </c>
      <c r="Q140" s="3"/>
      <c r="S140" s="0" t="str">
        <f aca="false">IF($A140="","",IF(AND($O140&lt;0,$I140&lt;&gt;"Completed",$I140&lt;&gt;"Cancelled"),1,0))</f>
        <v/>
      </c>
      <c r="T140" s="0" t="str">
        <f aca="false">IF($A140="","",IF($I140="Completed",ROW(),""))</f>
        <v/>
      </c>
      <c r="U140" s="0" t="str">
        <f aca="false">IF($A140="","",IF(OR($I140="Not Started",$I140="Planning",$I140="Blocked"),ROW(),""))</f>
        <v/>
      </c>
    </row>
    <row r="141" customFormat="false" ht="15" hidden="false" customHeight="false" outlineLevel="0" collapsed="false">
      <c r="B141" s="3"/>
      <c r="F141" s="3"/>
      <c r="G141" s="3"/>
      <c r="H141" s="3"/>
      <c r="I141" s="3"/>
      <c r="J141" s="37" t="str">
        <f aca="false">IF($A141="","",IFERROR(INDEX(Lists!$B$2:$B$10,MATCH($I141,Lists!$A$2:$A$10,0)),""))</f>
        <v/>
      </c>
      <c r="N141" s="0" t="str">
        <f aca="false">IF($A141="","",$L141-$K141+1)</f>
        <v/>
      </c>
      <c r="O141" s="39" t="str">
        <f aca="true">IF($A141="","",IF(OR($I141="Completed",$I141="Cancelled"),0,$L141-TODAY()))</f>
        <v/>
      </c>
      <c r="Q141" s="3"/>
      <c r="S141" s="0" t="str">
        <f aca="false">IF($A141="","",IF(AND($O141&lt;0,$I141&lt;&gt;"Completed",$I141&lt;&gt;"Cancelled"),1,0))</f>
        <v/>
      </c>
      <c r="T141" s="0" t="str">
        <f aca="false">IF($A141="","",IF($I141="Completed",ROW(),""))</f>
        <v/>
      </c>
      <c r="U141" s="0" t="str">
        <f aca="false">IF($A141="","",IF(OR($I141="Not Started",$I141="Planning",$I141="Blocked"),ROW(),""))</f>
        <v/>
      </c>
    </row>
    <row r="142" customFormat="false" ht="15" hidden="false" customHeight="false" outlineLevel="0" collapsed="false">
      <c r="B142" s="3"/>
      <c r="F142" s="3"/>
      <c r="G142" s="3"/>
      <c r="H142" s="3"/>
      <c r="I142" s="3"/>
      <c r="J142" s="37" t="str">
        <f aca="false">IF($A142="","",IFERROR(INDEX(Lists!$B$2:$B$10,MATCH($I142,Lists!$A$2:$A$10,0)),""))</f>
        <v/>
      </c>
      <c r="N142" s="0" t="str">
        <f aca="false">IF($A142="","",$L142-$K142+1)</f>
        <v/>
      </c>
      <c r="O142" s="39" t="str">
        <f aca="true">IF($A142="","",IF(OR($I142="Completed",$I142="Cancelled"),0,$L142-TODAY()))</f>
        <v/>
      </c>
      <c r="Q142" s="3"/>
      <c r="S142" s="0" t="str">
        <f aca="false">IF($A142="","",IF(AND($O142&lt;0,$I142&lt;&gt;"Completed",$I142&lt;&gt;"Cancelled"),1,0))</f>
        <v/>
      </c>
      <c r="T142" s="0" t="str">
        <f aca="false">IF($A142="","",IF($I142="Completed",ROW(),""))</f>
        <v/>
      </c>
      <c r="U142" s="0" t="str">
        <f aca="false">IF($A142="","",IF(OR($I142="Not Started",$I142="Planning",$I142="Blocked"),ROW(),""))</f>
        <v/>
      </c>
    </row>
    <row r="143" customFormat="false" ht="15" hidden="false" customHeight="false" outlineLevel="0" collapsed="false">
      <c r="B143" s="3"/>
      <c r="F143" s="3"/>
      <c r="G143" s="3"/>
      <c r="H143" s="3"/>
      <c r="I143" s="3"/>
      <c r="J143" s="37" t="str">
        <f aca="false">IF($A143="","",IFERROR(INDEX(Lists!$B$2:$B$10,MATCH($I143,Lists!$A$2:$A$10,0)),""))</f>
        <v/>
      </c>
      <c r="N143" s="0" t="str">
        <f aca="false">IF($A143="","",$L143-$K143+1)</f>
        <v/>
      </c>
      <c r="O143" s="39" t="str">
        <f aca="true">IF($A143="","",IF(OR($I143="Completed",$I143="Cancelled"),0,$L143-TODAY()))</f>
        <v/>
      </c>
      <c r="Q143" s="3"/>
      <c r="S143" s="0" t="str">
        <f aca="false">IF($A143="","",IF(AND($O143&lt;0,$I143&lt;&gt;"Completed",$I143&lt;&gt;"Cancelled"),1,0))</f>
        <v/>
      </c>
      <c r="T143" s="0" t="str">
        <f aca="false">IF($A143="","",IF($I143="Completed",ROW(),""))</f>
        <v/>
      </c>
      <c r="U143" s="0" t="str">
        <f aca="false">IF($A143="","",IF(OR($I143="Not Started",$I143="Planning",$I143="Blocked"),ROW(),""))</f>
        <v/>
      </c>
    </row>
    <row r="144" customFormat="false" ht="15" hidden="false" customHeight="false" outlineLevel="0" collapsed="false">
      <c r="B144" s="3"/>
      <c r="F144" s="3"/>
      <c r="G144" s="3"/>
      <c r="H144" s="3"/>
      <c r="I144" s="3"/>
      <c r="J144" s="37" t="str">
        <f aca="false">IF($A144="","",IFERROR(INDEX(Lists!$B$2:$B$10,MATCH($I144,Lists!$A$2:$A$10,0)),""))</f>
        <v/>
      </c>
      <c r="N144" s="0" t="str">
        <f aca="false">IF($A144="","",$L144-$K144+1)</f>
        <v/>
      </c>
      <c r="O144" s="39" t="str">
        <f aca="true">IF($A144="","",IF(OR($I144="Completed",$I144="Cancelled"),0,$L144-TODAY()))</f>
        <v/>
      </c>
      <c r="Q144" s="3"/>
      <c r="S144" s="0" t="str">
        <f aca="false">IF($A144="","",IF(AND($O144&lt;0,$I144&lt;&gt;"Completed",$I144&lt;&gt;"Cancelled"),1,0))</f>
        <v/>
      </c>
      <c r="T144" s="0" t="str">
        <f aca="false">IF($A144="","",IF($I144="Completed",ROW(),""))</f>
        <v/>
      </c>
      <c r="U144" s="0" t="str">
        <f aca="false">IF($A144="","",IF(OR($I144="Not Started",$I144="Planning",$I144="Blocked"),ROW(),""))</f>
        <v/>
      </c>
    </row>
    <row r="145" customFormat="false" ht="15" hidden="false" customHeight="false" outlineLevel="0" collapsed="false">
      <c r="B145" s="3"/>
      <c r="F145" s="3"/>
      <c r="G145" s="3"/>
      <c r="H145" s="3"/>
      <c r="I145" s="3"/>
      <c r="J145" s="37" t="str">
        <f aca="false">IF($A145="","",IFERROR(INDEX(Lists!$B$2:$B$10,MATCH($I145,Lists!$A$2:$A$10,0)),""))</f>
        <v/>
      </c>
      <c r="N145" s="0" t="str">
        <f aca="false">IF($A145="","",$L145-$K145+1)</f>
        <v/>
      </c>
      <c r="O145" s="39" t="str">
        <f aca="true">IF($A145="","",IF(OR($I145="Completed",$I145="Cancelled"),0,$L145-TODAY()))</f>
        <v/>
      </c>
      <c r="Q145" s="3"/>
      <c r="S145" s="0" t="str">
        <f aca="false">IF($A145="","",IF(AND($O145&lt;0,$I145&lt;&gt;"Completed",$I145&lt;&gt;"Cancelled"),1,0))</f>
        <v/>
      </c>
      <c r="T145" s="0" t="str">
        <f aca="false">IF($A145="","",IF($I145="Completed",ROW(),""))</f>
        <v/>
      </c>
      <c r="U145" s="0" t="str">
        <f aca="false">IF($A145="","",IF(OR($I145="Not Started",$I145="Planning",$I145="Blocked"),ROW(),""))</f>
        <v/>
      </c>
    </row>
    <row r="146" customFormat="false" ht="15" hidden="false" customHeight="false" outlineLevel="0" collapsed="false">
      <c r="B146" s="3"/>
      <c r="F146" s="3"/>
      <c r="G146" s="3"/>
      <c r="H146" s="3"/>
      <c r="I146" s="3"/>
      <c r="J146" s="37" t="str">
        <f aca="false">IF($A146="","",IFERROR(INDEX(Lists!$B$2:$B$10,MATCH($I146,Lists!$A$2:$A$10,0)),""))</f>
        <v/>
      </c>
      <c r="N146" s="0" t="str">
        <f aca="false">IF($A146="","",$L146-$K146+1)</f>
        <v/>
      </c>
      <c r="O146" s="39" t="str">
        <f aca="true">IF($A146="","",IF(OR($I146="Completed",$I146="Cancelled"),0,$L146-TODAY()))</f>
        <v/>
      </c>
      <c r="Q146" s="3"/>
      <c r="S146" s="0" t="str">
        <f aca="false">IF($A146="","",IF(AND($O146&lt;0,$I146&lt;&gt;"Completed",$I146&lt;&gt;"Cancelled"),1,0))</f>
        <v/>
      </c>
      <c r="T146" s="0" t="str">
        <f aca="false">IF($A146="","",IF($I146="Completed",ROW(),""))</f>
        <v/>
      </c>
      <c r="U146" s="0" t="str">
        <f aca="false">IF($A146="","",IF(OR($I146="Not Started",$I146="Planning",$I146="Blocked"),ROW(),""))</f>
        <v/>
      </c>
    </row>
    <row r="147" customFormat="false" ht="15" hidden="false" customHeight="false" outlineLevel="0" collapsed="false">
      <c r="B147" s="3"/>
      <c r="F147" s="3"/>
      <c r="G147" s="3"/>
      <c r="H147" s="3"/>
      <c r="I147" s="3"/>
      <c r="J147" s="37" t="str">
        <f aca="false">IF($A147="","",IFERROR(INDEX(Lists!$B$2:$B$10,MATCH($I147,Lists!$A$2:$A$10,0)),""))</f>
        <v/>
      </c>
      <c r="N147" s="0" t="str">
        <f aca="false">IF($A147="","",$L147-$K147+1)</f>
        <v/>
      </c>
      <c r="O147" s="39" t="str">
        <f aca="true">IF($A147="","",IF(OR($I147="Completed",$I147="Cancelled"),0,$L147-TODAY()))</f>
        <v/>
      </c>
      <c r="Q147" s="3"/>
      <c r="S147" s="0" t="str">
        <f aca="false">IF($A147="","",IF(AND($O147&lt;0,$I147&lt;&gt;"Completed",$I147&lt;&gt;"Cancelled"),1,0))</f>
        <v/>
      </c>
      <c r="T147" s="0" t="str">
        <f aca="false">IF($A147="","",IF($I147="Completed",ROW(),""))</f>
        <v/>
      </c>
      <c r="U147" s="0" t="str">
        <f aca="false">IF($A147="","",IF(OR($I147="Not Started",$I147="Planning",$I147="Blocked"),ROW(),""))</f>
        <v/>
      </c>
    </row>
    <row r="148" customFormat="false" ht="15" hidden="false" customHeight="false" outlineLevel="0" collapsed="false">
      <c r="B148" s="3"/>
      <c r="F148" s="3"/>
      <c r="G148" s="3"/>
      <c r="H148" s="3"/>
      <c r="I148" s="3"/>
      <c r="J148" s="37" t="str">
        <f aca="false">IF($A148="","",IFERROR(INDEX(Lists!$B$2:$B$10,MATCH($I148,Lists!$A$2:$A$10,0)),""))</f>
        <v/>
      </c>
      <c r="N148" s="0" t="str">
        <f aca="false">IF($A148="","",$L148-$K148+1)</f>
        <v/>
      </c>
      <c r="O148" s="39" t="str">
        <f aca="true">IF($A148="","",IF(OR($I148="Completed",$I148="Cancelled"),0,$L148-TODAY()))</f>
        <v/>
      </c>
      <c r="Q148" s="3"/>
      <c r="S148" s="0" t="str">
        <f aca="false">IF($A148="","",IF(AND($O148&lt;0,$I148&lt;&gt;"Completed",$I148&lt;&gt;"Cancelled"),1,0))</f>
        <v/>
      </c>
      <c r="T148" s="0" t="str">
        <f aca="false">IF($A148="","",IF($I148="Completed",ROW(),""))</f>
        <v/>
      </c>
      <c r="U148" s="0" t="str">
        <f aca="false">IF($A148="","",IF(OR($I148="Not Started",$I148="Planning",$I148="Blocked"),ROW(),""))</f>
        <v/>
      </c>
    </row>
    <row r="149" customFormat="false" ht="15" hidden="false" customHeight="false" outlineLevel="0" collapsed="false">
      <c r="B149" s="3"/>
      <c r="F149" s="3"/>
      <c r="G149" s="3"/>
      <c r="H149" s="3"/>
      <c r="I149" s="3"/>
      <c r="J149" s="37" t="str">
        <f aca="false">IF($A149="","",IFERROR(INDEX(Lists!$B$2:$B$10,MATCH($I149,Lists!$A$2:$A$10,0)),""))</f>
        <v/>
      </c>
      <c r="N149" s="0" t="str">
        <f aca="false">IF($A149="","",$L149-$K149+1)</f>
        <v/>
      </c>
      <c r="O149" s="39" t="str">
        <f aca="true">IF($A149="","",IF(OR($I149="Completed",$I149="Cancelled"),0,$L149-TODAY()))</f>
        <v/>
      </c>
      <c r="Q149" s="3"/>
      <c r="S149" s="0" t="str">
        <f aca="false">IF($A149="","",IF(AND($O149&lt;0,$I149&lt;&gt;"Completed",$I149&lt;&gt;"Cancelled"),1,0))</f>
        <v/>
      </c>
      <c r="T149" s="0" t="str">
        <f aca="false">IF($A149="","",IF($I149="Completed",ROW(),""))</f>
        <v/>
      </c>
      <c r="U149" s="0" t="str">
        <f aca="false">IF($A149="","",IF(OR($I149="Not Started",$I149="Planning",$I149="Blocked"),ROW(),""))</f>
        <v/>
      </c>
    </row>
    <row r="150" customFormat="false" ht="15" hidden="false" customHeight="false" outlineLevel="0" collapsed="false">
      <c r="B150" s="3"/>
      <c r="F150" s="3"/>
      <c r="G150" s="3"/>
      <c r="H150" s="3"/>
      <c r="I150" s="3"/>
      <c r="J150" s="37" t="str">
        <f aca="false">IF($A150="","",IFERROR(INDEX(Lists!$B$2:$B$10,MATCH($I150,Lists!$A$2:$A$10,0)),""))</f>
        <v/>
      </c>
      <c r="N150" s="0" t="str">
        <f aca="false">IF($A150="","",$L150-$K150+1)</f>
        <v/>
      </c>
      <c r="O150" s="39" t="str">
        <f aca="true">IF($A150="","",IF(OR($I150="Completed",$I150="Cancelled"),0,$L150-TODAY()))</f>
        <v/>
      </c>
      <c r="Q150" s="3"/>
      <c r="S150" s="0" t="str">
        <f aca="false">IF($A150="","",IF(AND($O150&lt;0,$I150&lt;&gt;"Completed",$I150&lt;&gt;"Cancelled"),1,0))</f>
        <v/>
      </c>
      <c r="T150" s="0" t="str">
        <f aca="false">IF($A150="","",IF($I150="Completed",ROW(),""))</f>
        <v/>
      </c>
      <c r="U150" s="0" t="str">
        <f aca="false">IF($A150="","",IF(OR($I150="Not Started",$I150="Planning",$I150="Blocked"),ROW(),""))</f>
        <v/>
      </c>
    </row>
    <row r="151" customFormat="false" ht="15" hidden="false" customHeight="false" outlineLevel="0" collapsed="false">
      <c r="B151" s="3"/>
      <c r="F151" s="3"/>
      <c r="G151" s="3"/>
      <c r="H151" s="3"/>
      <c r="I151" s="3"/>
      <c r="J151" s="37" t="str">
        <f aca="false">IF($A151="","",IFERROR(INDEX(Lists!$B$2:$B$10,MATCH($I151,Lists!$A$2:$A$10,0)),""))</f>
        <v/>
      </c>
      <c r="N151" s="0" t="str">
        <f aca="false">IF($A151="","",$L151-$K151+1)</f>
        <v/>
      </c>
      <c r="O151" s="39" t="str">
        <f aca="true">IF($A151="","",IF(OR($I151="Completed",$I151="Cancelled"),0,$L151-TODAY()))</f>
        <v/>
      </c>
      <c r="Q151" s="3"/>
      <c r="S151" s="0" t="str">
        <f aca="false">IF($A151="","",IF(AND($O151&lt;0,$I151&lt;&gt;"Completed",$I151&lt;&gt;"Cancelled"),1,0))</f>
        <v/>
      </c>
      <c r="T151" s="0" t="str">
        <f aca="false">IF($A151="","",IF($I151="Completed",ROW(),""))</f>
        <v/>
      </c>
      <c r="U151" s="0" t="str">
        <f aca="false">IF($A151="","",IF(OR($I151="Not Started",$I151="Planning",$I151="Blocked"),ROW(),""))</f>
        <v/>
      </c>
    </row>
    <row r="152" customFormat="false" ht="15" hidden="false" customHeight="false" outlineLevel="0" collapsed="false">
      <c r="B152" s="3"/>
      <c r="F152" s="3"/>
      <c r="G152" s="3"/>
      <c r="H152" s="3"/>
      <c r="I152" s="3"/>
      <c r="J152" s="37" t="str">
        <f aca="false">IF($A152="","",IFERROR(INDEX(Lists!$B$2:$B$10,MATCH($I152,Lists!$A$2:$A$10,0)),""))</f>
        <v/>
      </c>
      <c r="N152" s="0" t="str">
        <f aca="false">IF($A152="","",$L152-$K152+1)</f>
        <v/>
      </c>
      <c r="O152" s="39" t="str">
        <f aca="true">IF($A152="","",IF(OR($I152="Completed",$I152="Cancelled"),0,$L152-TODAY()))</f>
        <v/>
      </c>
      <c r="Q152" s="3"/>
      <c r="S152" s="0" t="str">
        <f aca="false">IF($A152="","",IF(AND($O152&lt;0,$I152&lt;&gt;"Completed",$I152&lt;&gt;"Cancelled"),1,0))</f>
        <v/>
      </c>
      <c r="T152" s="0" t="str">
        <f aca="false">IF($A152="","",IF($I152="Completed",ROW(),""))</f>
        <v/>
      </c>
      <c r="U152" s="0" t="str">
        <f aca="false">IF($A152="","",IF(OR($I152="Not Started",$I152="Planning",$I152="Blocked"),ROW(),""))</f>
        <v/>
      </c>
    </row>
    <row r="153" customFormat="false" ht="15" hidden="false" customHeight="false" outlineLevel="0" collapsed="false">
      <c r="B153" s="3"/>
      <c r="F153" s="3"/>
      <c r="G153" s="3"/>
      <c r="H153" s="3"/>
      <c r="I153" s="3"/>
      <c r="J153" s="37" t="str">
        <f aca="false">IF($A153="","",IFERROR(INDEX(Lists!$B$2:$B$10,MATCH($I153,Lists!$A$2:$A$10,0)),""))</f>
        <v/>
      </c>
      <c r="N153" s="0" t="str">
        <f aca="false">IF($A153="","",$L153-$K153+1)</f>
        <v/>
      </c>
      <c r="O153" s="39" t="str">
        <f aca="true">IF($A153="","",IF(OR($I153="Completed",$I153="Cancelled"),0,$L153-TODAY()))</f>
        <v/>
      </c>
      <c r="Q153" s="3"/>
      <c r="S153" s="0" t="str">
        <f aca="false">IF($A153="","",IF(AND($O153&lt;0,$I153&lt;&gt;"Completed",$I153&lt;&gt;"Cancelled"),1,0))</f>
        <v/>
      </c>
      <c r="T153" s="0" t="str">
        <f aca="false">IF($A153="","",IF($I153="Completed",ROW(),""))</f>
        <v/>
      </c>
      <c r="U153" s="0" t="str">
        <f aca="false">IF($A153="","",IF(OR($I153="Not Started",$I153="Planning",$I153="Blocked"),ROW(),""))</f>
        <v/>
      </c>
    </row>
    <row r="154" customFormat="false" ht="15" hidden="false" customHeight="false" outlineLevel="0" collapsed="false">
      <c r="B154" s="3"/>
      <c r="F154" s="3"/>
      <c r="G154" s="3"/>
      <c r="H154" s="3"/>
      <c r="I154" s="3"/>
      <c r="J154" s="37" t="str">
        <f aca="false">IF($A154="","",IFERROR(INDEX(Lists!$B$2:$B$10,MATCH($I154,Lists!$A$2:$A$10,0)),""))</f>
        <v/>
      </c>
      <c r="N154" s="0" t="str">
        <f aca="false">IF($A154="","",$L154-$K154+1)</f>
        <v/>
      </c>
      <c r="O154" s="39" t="str">
        <f aca="true">IF($A154="","",IF(OR($I154="Completed",$I154="Cancelled"),0,$L154-TODAY()))</f>
        <v/>
      </c>
      <c r="Q154" s="3"/>
      <c r="S154" s="0" t="str">
        <f aca="false">IF($A154="","",IF(AND($O154&lt;0,$I154&lt;&gt;"Completed",$I154&lt;&gt;"Cancelled"),1,0))</f>
        <v/>
      </c>
      <c r="T154" s="0" t="str">
        <f aca="false">IF($A154="","",IF($I154="Completed",ROW(),""))</f>
        <v/>
      </c>
      <c r="U154" s="0" t="str">
        <f aca="false">IF($A154="","",IF(OR($I154="Not Started",$I154="Planning",$I154="Blocked"),ROW(),""))</f>
        <v/>
      </c>
    </row>
    <row r="155" customFormat="false" ht="15" hidden="false" customHeight="false" outlineLevel="0" collapsed="false">
      <c r="B155" s="3"/>
      <c r="F155" s="3"/>
      <c r="G155" s="3"/>
      <c r="H155" s="3"/>
      <c r="I155" s="3"/>
      <c r="J155" s="37" t="str">
        <f aca="false">IF($A155="","",IFERROR(INDEX(Lists!$B$2:$B$10,MATCH($I155,Lists!$A$2:$A$10,0)),""))</f>
        <v/>
      </c>
      <c r="N155" s="0" t="str">
        <f aca="false">IF($A155="","",$L155-$K155+1)</f>
        <v/>
      </c>
      <c r="O155" s="39" t="str">
        <f aca="true">IF($A155="","",IF(OR($I155="Completed",$I155="Cancelled"),0,$L155-TODAY()))</f>
        <v/>
      </c>
      <c r="Q155" s="3"/>
      <c r="S155" s="0" t="str">
        <f aca="false">IF($A155="","",IF(AND($O155&lt;0,$I155&lt;&gt;"Completed",$I155&lt;&gt;"Cancelled"),1,0))</f>
        <v/>
      </c>
      <c r="T155" s="0" t="str">
        <f aca="false">IF($A155="","",IF($I155="Completed",ROW(),""))</f>
        <v/>
      </c>
      <c r="U155" s="0" t="str">
        <f aca="false">IF($A155="","",IF(OR($I155="Not Started",$I155="Planning",$I155="Blocked"),ROW(),""))</f>
        <v/>
      </c>
    </row>
    <row r="156" customFormat="false" ht="15" hidden="false" customHeight="false" outlineLevel="0" collapsed="false">
      <c r="B156" s="3"/>
      <c r="F156" s="3"/>
      <c r="G156" s="3"/>
      <c r="H156" s="3"/>
      <c r="I156" s="3"/>
      <c r="J156" s="37" t="str">
        <f aca="false">IF($A156="","",IFERROR(INDEX(Lists!$B$2:$B$10,MATCH($I156,Lists!$A$2:$A$10,0)),""))</f>
        <v/>
      </c>
      <c r="N156" s="0" t="str">
        <f aca="false">IF($A156="","",$L156-$K156+1)</f>
        <v/>
      </c>
      <c r="O156" s="39" t="str">
        <f aca="true">IF($A156="","",IF(OR($I156="Completed",$I156="Cancelled"),0,$L156-TODAY()))</f>
        <v/>
      </c>
      <c r="Q156" s="3"/>
      <c r="S156" s="0" t="str">
        <f aca="false">IF($A156="","",IF(AND($O156&lt;0,$I156&lt;&gt;"Completed",$I156&lt;&gt;"Cancelled"),1,0))</f>
        <v/>
      </c>
      <c r="T156" s="0" t="str">
        <f aca="false">IF($A156="","",IF($I156="Completed",ROW(),""))</f>
        <v/>
      </c>
      <c r="U156" s="0" t="str">
        <f aca="false">IF($A156="","",IF(OR($I156="Not Started",$I156="Planning",$I156="Blocked"),ROW(),""))</f>
        <v/>
      </c>
    </row>
    <row r="157" customFormat="false" ht="15" hidden="false" customHeight="false" outlineLevel="0" collapsed="false">
      <c r="B157" s="3"/>
      <c r="F157" s="3"/>
      <c r="G157" s="3"/>
      <c r="H157" s="3"/>
      <c r="I157" s="3"/>
      <c r="J157" s="37" t="str">
        <f aca="false">IF($A157="","",IFERROR(INDEX(Lists!$B$2:$B$10,MATCH($I157,Lists!$A$2:$A$10,0)),""))</f>
        <v/>
      </c>
      <c r="N157" s="0" t="str">
        <f aca="false">IF($A157="","",$L157-$K157+1)</f>
        <v/>
      </c>
      <c r="O157" s="39" t="str">
        <f aca="true">IF($A157="","",IF(OR($I157="Completed",$I157="Cancelled"),0,$L157-TODAY()))</f>
        <v/>
      </c>
      <c r="Q157" s="3"/>
      <c r="S157" s="0" t="str">
        <f aca="false">IF($A157="","",IF(AND($O157&lt;0,$I157&lt;&gt;"Completed",$I157&lt;&gt;"Cancelled"),1,0))</f>
        <v/>
      </c>
      <c r="T157" s="0" t="str">
        <f aca="false">IF($A157="","",IF($I157="Completed",ROW(),""))</f>
        <v/>
      </c>
      <c r="U157" s="0" t="str">
        <f aca="false">IF($A157="","",IF(OR($I157="Not Started",$I157="Planning",$I157="Blocked"),ROW(),""))</f>
        <v/>
      </c>
    </row>
    <row r="158" customFormat="false" ht="15" hidden="false" customHeight="false" outlineLevel="0" collapsed="false">
      <c r="B158" s="3"/>
      <c r="F158" s="3"/>
      <c r="G158" s="3"/>
      <c r="H158" s="3"/>
      <c r="I158" s="3"/>
      <c r="J158" s="37" t="str">
        <f aca="false">IF($A158="","",IFERROR(INDEX(Lists!$B$2:$B$10,MATCH($I158,Lists!$A$2:$A$10,0)),""))</f>
        <v/>
      </c>
      <c r="N158" s="0" t="str">
        <f aca="false">IF($A158="","",$L158-$K158+1)</f>
        <v/>
      </c>
      <c r="O158" s="39" t="str">
        <f aca="true">IF($A158="","",IF(OR($I158="Completed",$I158="Cancelled"),0,$L158-TODAY()))</f>
        <v/>
      </c>
      <c r="Q158" s="3"/>
      <c r="S158" s="0" t="str">
        <f aca="false">IF($A158="","",IF(AND($O158&lt;0,$I158&lt;&gt;"Completed",$I158&lt;&gt;"Cancelled"),1,0))</f>
        <v/>
      </c>
      <c r="T158" s="0" t="str">
        <f aca="false">IF($A158="","",IF($I158="Completed",ROW(),""))</f>
        <v/>
      </c>
      <c r="U158" s="0" t="str">
        <f aca="false">IF($A158="","",IF(OR($I158="Not Started",$I158="Planning",$I158="Blocked"),ROW(),""))</f>
        <v/>
      </c>
    </row>
    <row r="159" customFormat="false" ht="15" hidden="false" customHeight="false" outlineLevel="0" collapsed="false">
      <c r="B159" s="3"/>
      <c r="F159" s="3"/>
      <c r="G159" s="3"/>
      <c r="H159" s="3"/>
      <c r="I159" s="3"/>
      <c r="J159" s="37" t="str">
        <f aca="false">IF($A159="","",IFERROR(INDEX(Lists!$B$2:$B$10,MATCH($I159,Lists!$A$2:$A$10,0)),""))</f>
        <v/>
      </c>
      <c r="N159" s="0" t="str">
        <f aca="false">IF($A159="","",$L159-$K159+1)</f>
        <v/>
      </c>
      <c r="O159" s="39" t="str">
        <f aca="true">IF($A159="","",IF(OR($I159="Completed",$I159="Cancelled"),0,$L159-TODAY()))</f>
        <v/>
      </c>
      <c r="Q159" s="3"/>
      <c r="S159" s="0" t="str">
        <f aca="false">IF($A159="","",IF(AND($O159&lt;0,$I159&lt;&gt;"Completed",$I159&lt;&gt;"Cancelled"),1,0))</f>
        <v/>
      </c>
      <c r="T159" s="0" t="str">
        <f aca="false">IF($A159="","",IF($I159="Completed",ROW(),""))</f>
        <v/>
      </c>
      <c r="U159" s="0" t="str">
        <f aca="false">IF($A159="","",IF(OR($I159="Not Started",$I159="Planning",$I159="Blocked"),ROW(),""))</f>
        <v/>
      </c>
    </row>
    <row r="160" customFormat="false" ht="15" hidden="false" customHeight="false" outlineLevel="0" collapsed="false">
      <c r="B160" s="3"/>
      <c r="F160" s="3"/>
      <c r="G160" s="3"/>
      <c r="H160" s="3"/>
      <c r="I160" s="3"/>
      <c r="J160" s="37" t="str">
        <f aca="false">IF($A160="","",IFERROR(INDEX(Lists!$B$2:$B$10,MATCH($I160,Lists!$A$2:$A$10,0)),""))</f>
        <v/>
      </c>
      <c r="N160" s="0" t="str">
        <f aca="false">IF($A160="","",$L160-$K160+1)</f>
        <v/>
      </c>
      <c r="O160" s="39" t="str">
        <f aca="true">IF($A160="","",IF(OR($I160="Completed",$I160="Cancelled"),0,$L160-TODAY()))</f>
        <v/>
      </c>
      <c r="Q160" s="3"/>
      <c r="S160" s="0" t="str">
        <f aca="false">IF($A160="","",IF(AND($O160&lt;0,$I160&lt;&gt;"Completed",$I160&lt;&gt;"Cancelled"),1,0))</f>
        <v/>
      </c>
      <c r="T160" s="0" t="str">
        <f aca="false">IF($A160="","",IF($I160="Completed",ROW(),""))</f>
        <v/>
      </c>
      <c r="U160" s="0" t="str">
        <f aca="false">IF($A160="","",IF(OR($I160="Not Started",$I160="Planning",$I160="Blocked"),ROW(),""))</f>
        <v/>
      </c>
    </row>
    <row r="161" customFormat="false" ht="15" hidden="false" customHeight="false" outlineLevel="0" collapsed="false">
      <c r="B161" s="3"/>
      <c r="F161" s="3"/>
      <c r="G161" s="3"/>
      <c r="H161" s="3"/>
      <c r="I161" s="3"/>
      <c r="J161" s="37" t="str">
        <f aca="false">IF($A161="","",IFERROR(INDEX(Lists!$B$2:$B$10,MATCH($I161,Lists!$A$2:$A$10,0)),""))</f>
        <v/>
      </c>
      <c r="N161" s="0" t="str">
        <f aca="false">IF($A161="","",$L161-$K161+1)</f>
        <v/>
      </c>
      <c r="O161" s="39" t="str">
        <f aca="true">IF($A161="","",IF(OR($I161="Completed",$I161="Cancelled"),0,$L161-TODAY()))</f>
        <v/>
      </c>
      <c r="Q161" s="3"/>
      <c r="S161" s="0" t="str">
        <f aca="false">IF($A161="","",IF(AND($O161&lt;0,$I161&lt;&gt;"Completed",$I161&lt;&gt;"Cancelled"),1,0))</f>
        <v/>
      </c>
      <c r="T161" s="0" t="str">
        <f aca="false">IF($A161="","",IF($I161="Completed",ROW(),""))</f>
        <v/>
      </c>
      <c r="U161" s="0" t="str">
        <f aca="false">IF($A161="","",IF(OR($I161="Not Started",$I161="Planning",$I161="Blocked"),ROW(),""))</f>
        <v/>
      </c>
    </row>
    <row r="162" customFormat="false" ht="15" hidden="false" customHeight="false" outlineLevel="0" collapsed="false">
      <c r="B162" s="3"/>
      <c r="F162" s="3"/>
      <c r="G162" s="3"/>
      <c r="H162" s="3"/>
      <c r="I162" s="3"/>
      <c r="J162" s="37" t="str">
        <f aca="false">IF($A162="","",IFERROR(INDEX(Lists!$B$2:$B$10,MATCH($I162,Lists!$A$2:$A$10,0)),""))</f>
        <v/>
      </c>
      <c r="N162" s="0" t="str">
        <f aca="false">IF($A162="","",$L162-$K162+1)</f>
        <v/>
      </c>
      <c r="O162" s="39" t="str">
        <f aca="true">IF($A162="","",IF(OR($I162="Completed",$I162="Cancelled"),0,$L162-TODAY()))</f>
        <v/>
      </c>
      <c r="Q162" s="3"/>
      <c r="S162" s="0" t="str">
        <f aca="false">IF($A162="","",IF(AND($O162&lt;0,$I162&lt;&gt;"Completed",$I162&lt;&gt;"Cancelled"),1,0))</f>
        <v/>
      </c>
      <c r="T162" s="0" t="str">
        <f aca="false">IF($A162="","",IF($I162="Completed",ROW(),""))</f>
        <v/>
      </c>
      <c r="U162" s="0" t="str">
        <f aca="false">IF($A162="","",IF(OR($I162="Not Started",$I162="Planning",$I162="Blocked"),ROW(),""))</f>
        <v/>
      </c>
    </row>
    <row r="163" customFormat="false" ht="15" hidden="false" customHeight="false" outlineLevel="0" collapsed="false">
      <c r="B163" s="3"/>
      <c r="F163" s="3"/>
      <c r="G163" s="3"/>
      <c r="H163" s="3"/>
      <c r="I163" s="3"/>
      <c r="J163" s="37" t="str">
        <f aca="false">IF($A163="","",IFERROR(INDEX(Lists!$B$2:$B$10,MATCH($I163,Lists!$A$2:$A$10,0)),""))</f>
        <v/>
      </c>
      <c r="N163" s="0" t="str">
        <f aca="false">IF($A163="","",$L163-$K163+1)</f>
        <v/>
      </c>
      <c r="O163" s="39" t="str">
        <f aca="true">IF($A163="","",IF(OR($I163="Completed",$I163="Cancelled"),0,$L163-TODAY()))</f>
        <v/>
      </c>
      <c r="Q163" s="3"/>
      <c r="S163" s="0" t="str">
        <f aca="false">IF($A163="","",IF(AND($O163&lt;0,$I163&lt;&gt;"Completed",$I163&lt;&gt;"Cancelled"),1,0))</f>
        <v/>
      </c>
      <c r="T163" s="0" t="str">
        <f aca="false">IF($A163="","",IF($I163="Completed",ROW(),""))</f>
        <v/>
      </c>
      <c r="U163" s="0" t="str">
        <f aca="false">IF($A163="","",IF(OR($I163="Not Started",$I163="Planning",$I163="Blocked"),ROW(),""))</f>
        <v/>
      </c>
    </row>
    <row r="164" customFormat="false" ht="15" hidden="false" customHeight="false" outlineLevel="0" collapsed="false">
      <c r="B164" s="3"/>
      <c r="F164" s="3"/>
      <c r="G164" s="3"/>
      <c r="H164" s="3"/>
      <c r="I164" s="3"/>
      <c r="J164" s="37" t="str">
        <f aca="false">IF($A164="","",IFERROR(INDEX(Lists!$B$2:$B$10,MATCH($I164,Lists!$A$2:$A$10,0)),""))</f>
        <v/>
      </c>
      <c r="N164" s="0" t="str">
        <f aca="false">IF($A164="","",$L164-$K164+1)</f>
        <v/>
      </c>
      <c r="O164" s="39" t="str">
        <f aca="true">IF($A164="","",IF(OR($I164="Completed",$I164="Cancelled"),0,$L164-TODAY()))</f>
        <v/>
      </c>
      <c r="Q164" s="3"/>
      <c r="S164" s="0" t="str">
        <f aca="false">IF($A164="","",IF(AND($O164&lt;0,$I164&lt;&gt;"Completed",$I164&lt;&gt;"Cancelled"),1,0))</f>
        <v/>
      </c>
      <c r="T164" s="0" t="str">
        <f aca="false">IF($A164="","",IF($I164="Completed",ROW(),""))</f>
        <v/>
      </c>
      <c r="U164" s="0" t="str">
        <f aca="false">IF($A164="","",IF(OR($I164="Not Started",$I164="Planning",$I164="Blocked"),ROW(),""))</f>
        <v/>
      </c>
    </row>
    <row r="165" customFormat="false" ht="15" hidden="false" customHeight="false" outlineLevel="0" collapsed="false">
      <c r="B165" s="3"/>
      <c r="F165" s="3"/>
      <c r="G165" s="3"/>
      <c r="H165" s="3"/>
      <c r="I165" s="3"/>
      <c r="J165" s="37" t="str">
        <f aca="false">IF($A165="","",IFERROR(INDEX(Lists!$B$2:$B$10,MATCH($I165,Lists!$A$2:$A$10,0)),""))</f>
        <v/>
      </c>
      <c r="N165" s="0" t="str">
        <f aca="false">IF($A165="","",$L165-$K165+1)</f>
        <v/>
      </c>
      <c r="O165" s="39" t="str">
        <f aca="true">IF($A165="","",IF(OR($I165="Completed",$I165="Cancelled"),0,$L165-TODAY()))</f>
        <v/>
      </c>
      <c r="Q165" s="3"/>
      <c r="S165" s="0" t="str">
        <f aca="false">IF($A165="","",IF(AND($O165&lt;0,$I165&lt;&gt;"Completed",$I165&lt;&gt;"Cancelled"),1,0))</f>
        <v/>
      </c>
      <c r="T165" s="0" t="str">
        <f aca="false">IF($A165="","",IF($I165="Completed",ROW(),""))</f>
        <v/>
      </c>
      <c r="U165" s="0" t="str">
        <f aca="false">IF($A165="","",IF(OR($I165="Not Started",$I165="Planning",$I165="Blocked"),ROW(),""))</f>
        <v/>
      </c>
    </row>
    <row r="166" customFormat="false" ht="15" hidden="false" customHeight="false" outlineLevel="0" collapsed="false">
      <c r="B166" s="3"/>
      <c r="F166" s="3"/>
      <c r="G166" s="3"/>
      <c r="H166" s="3"/>
      <c r="I166" s="3"/>
      <c r="J166" s="37" t="str">
        <f aca="false">IF($A166="","",IFERROR(INDEX(Lists!$B$2:$B$10,MATCH($I166,Lists!$A$2:$A$10,0)),""))</f>
        <v/>
      </c>
      <c r="N166" s="0" t="str">
        <f aca="false">IF($A166="","",$L166-$K166+1)</f>
        <v/>
      </c>
      <c r="O166" s="39" t="str">
        <f aca="true">IF($A166="","",IF(OR($I166="Completed",$I166="Cancelled"),0,$L166-TODAY()))</f>
        <v/>
      </c>
      <c r="Q166" s="3"/>
      <c r="S166" s="0" t="str">
        <f aca="false">IF($A166="","",IF(AND($O166&lt;0,$I166&lt;&gt;"Completed",$I166&lt;&gt;"Cancelled"),1,0))</f>
        <v/>
      </c>
      <c r="T166" s="0" t="str">
        <f aca="false">IF($A166="","",IF($I166="Completed",ROW(),""))</f>
        <v/>
      </c>
      <c r="U166" s="0" t="str">
        <f aca="false">IF($A166="","",IF(OR($I166="Not Started",$I166="Planning",$I166="Blocked"),ROW(),""))</f>
        <v/>
      </c>
    </row>
    <row r="167" customFormat="false" ht="15" hidden="false" customHeight="false" outlineLevel="0" collapsed="false">
      <c r="B167" s="3"/>
      <c r="F167" s="3"/>
      <c r="G167" s="3"/>
      <c r="H167" s="3"/>
      <c r="I167" s="3"/>
      <c r="J167" s="37" t="str">
        <f aca="false">IF($A167="","",IFERROR(INDEX(Lists!$B$2:$B$10,MATCH($I167,Lists!$A$2:$A$10,0)),""))</f>
        <v/>
      </c>
      <c r="N167" s="0" t="str">
        <f aca="false">IF($A167="","",$L167-$K167+1)</f>
        <v/>
      </c>
      <c r="O167" s="39" t="str">
        <f aca="true">IF($A167="","",IF(OR($I167="Completed",$I167="Cancelled"),0,$L167-TODAY()))</f>
        <v/>
      </c>
      <c r="Q167" s="3"/>
      <c r="S167" s="0" t="str">
        <f aca="false">IF($A167="","",IF(AND($O167&lt;0,$I167&lt;&gt;"Completed",$I167&lt;&gt;"Cancelled"),1,0))</f>
        <v/>
      </c>
      <c r="T167" s="0" t="str">
        <f aca="false">IF($A167="","",IF($I167="Completed",ROW(),""))</f>
        <v/>
      </c>
      <c r="U167" s="0" t="str">
        <f aca="false">IF($A167="","",IF(OR($I167="Not Started",$I167="Planning",$I167="Blocked"),ROW(),""))</f>
        <v/>
      </c>
    </row>
    <row r="168" customFormat="false" ht="15" hidden="false" customHeight="false" outlineLevel="0" collapsed="false">
      <c r="B168" s="3"/>
      <c r="F168" s="3"/>
      <c r="G168" s="3"/>
      <c r="H168" s="3"/>
      <c r="I168" s="3"/>
      <c r="J168" s="37" t="str">
        <f aca="false">IF($A168="","",IFERROR(INDEX(Lists!$B$2:$B$10,MATCH($I168,Lists!$A$2:$A$10,0)),""))</f>
        <v/>
      </c>
      <c r="N168" s="0" t="str">
        <f aca="false">IF($A168="","",$L168-$K168+1)</f>
        <v/>
      </c>
      <c r="O168" s="39" t="str">
        <f aca="true">IF($A168="","",IF(OR($I168="Completed",$I168="Cancelled"),0,$L168-TODAY()))</f>
        <v/>
      </c>
      <c r="Q168" s="3"/>
      <c r="S168" s="0" t="str">
        <f aca="false">IF($A168="","",IF(AND($O168&lt;0,$I168&lt;&gt;"Completed",$I168&lt;&gt;"Cancelled"),1,0))</f>
        <v/>
      </c>
      <c r="T168" s="0" t="str">
        <f aca="false">IF($A168="","",IF($I168="Completed",ROW(),""))</f>
        <v/>
      </c>
      <c r="U168" s="0" t="str">
        <f aca="false">IF($A168="","",IF(OR($I168="Not Started",$I168="Planning",$I168="Blocked"),ROW(),""))</f>
        <v/>
      </c>
    </row>
    <row r="169" customFormat="false" ht="15" hidden="false" customHeight="false" outlineLevel="0" collapsed="false">
      <c r="B169" s="3"/>
      <c r="F169" s="3"/>
      <c r="G169" s="3"/>
      <c r="H169" s="3"/>
      <c r="I169" s="3"/>
      <c r="J169" s="37" t="str">
        <f aca="false">IF($A169="","",IFERROR(INDEX(Lists!$B$2:$B$10,MATCH($I169,Lists!$A$2:$A$10,0)),""))</f>
        <v/>
      </c>
      <c r="N169" s="0" t="str">
        <f aca="false">IF($A169="","",$L169-$K169+1)</f>
        <v/>
      </c>
      <c r="O169" s="39" t="str">
        <f aca="true">IF($A169="","",IF(OR($I169="Completed",$I169="Cancelled"),0,$L169-TODAY()))</f>
        <v/>
      </c>
      <c r="Q169" s="3"/>
      <c r="S169" s="0" t="str">
        <f aca="false">IF($A169="","",IF(AND($O169&lt;0,$I169&lt;&gt;"Completed",$I169&lt;&gt;"Cancelled"),1,0))</f>
        <v/>
      </c>
      <c r="T169" s="0" t="str">
        <f aca="false">IF($A169="","",IF($I169="Completed",ROW(),""))</f>
        <v/>
      </c>
      <c r="U169" s="0" t="str">
        <f aca="false">IF($A169="","",IF(OR($I169="Not Started",$I169="Planning",$I169="Blocked"),ROW(),""))</f>
        <v/>
      </c>
    </row>
    <row r="170" customFormat="false" ht="15" hidden="false" customHeight="false" outlineLevel="0" collapsed="false">
      <c r="B170" s="3"/>
      <c r="F170" s="3"/>
      <c r="G170" s="3"/>
      <c r="H170" s="3"/>
      <c r="I170" s="3"/>
      <c r="J170" s="37" t="str">
        <f aca="false">IF($A170="","",IFERROR(INDEX(Lists!$B$2:$B$10,MATCH($I170,Lists!$A$2:$A$10,0)),""))</f>
        <v/>
      </c>
      <c r="N170" s="0" t="str">
        <f aca="false">IF($A170="","",$L170-$K170+1)</f>
        <v/>
      </c>
      <c r="O170" s="39" t="str">
        <f aca="true">IF($A170="","",IF(OR($I170="Completed",$I170="Cancelled"),0,$L170-TODAY()))</f>
        <v/>
      </c>
      <c r="Q170" s="3"/>
      <c r="S170" s="0" t="str">
        <f aca="false">IF($A170="","",IF(AND($O170&lt;0,$I170&lt;&gt;"Completed",$I170&lt;&gt;"Cancelled"),1,0))</f>
        <v/>
      </c>
      <c r="T170" s="0" t="str">
        <f aca="false">IF($A170="","",IF($I170="Completed",ROW(),""))</f>
        <v/>
      </c>
      <c r="U170" s="0" t="str">
        <f aca="false">IF($A170="","",IF(OR($I170="Not Started",$I170="Planning",$I170="Blocked"),ROW(),""))</f>
        <v/>
      </c>
    </row>
    <row r="171" customFormat="false" ht="15" hidden="false" customHeight="false" outlineLevel="0" collapsed="false">
      <c r="B171" s="3"/>
      <c r="F171" s="3"/>
      <c r="G171" s="3"/>
      <c r="H171" s="3"/>
      <c r="I171" s="3"/>
      <c r="J171" s="37" t="str">
        <f aca="false">IF($A171="","",IFERROR(INDEX(Lists!$B$2:$B$10,MATCH($I171,Lists!$A$2:$A$10,0)),""))</f>
        <v/>
      </c>
      <c r="N171" s="0" t="str">
        <f aca="false">IF($A171="","",$L171-$K171+1)</f>
        <v/>
      </c>
      <c r="O171" s="39" t="str">
        <f aca="true">IF($A171="","",IF(OR($I171="Completed",$I171="Cancelled"),0,$L171-TODAY()))</f>
        <v/>
      </c>
      <c r="Q171" s="3"/>
      <c r="S171" s="0" t="str">
        <f aca="false">IF($A171="","",IF(AND($O171&lt;0,$I171&lt;&gt;"Completed",$I171&lt;&gt;"Cancelled"),1,0))</f>
        <v/>
      </c>
      <c r="T171" s="0" t="str">
        <f aca="false">IF($A171="","",IF($I171="Completed",ROW(),""))</f>
        <v/>
      </c>
      <c r="U171" s="0" t="str">
        <f aca="false">IF($A171="","",IF(OR($I171="Not Started",$I171="Planning",$I171="Blocked"),ROW(),""))</f>
        <v/>
      </c>
    </row>
    <row r="172" customFormat="false" ht="15" hidden="false" customHeight="false" outlineLevel="0" collapsed="false">
      <c r="B172" s="3"/>
      <c r="F172" s="3"/>
      <c r="G172" s="3"/>
      <c r="H172" s="3"/>
      <c r="I172" s="3"/>
      <c r="J172" s="37" t="str">
        <f aca="false">IF($A172="","",IFERROR(INDEX(Lists!$B$2:$B$10,MATCH($I172,Lists!$A$2:$A$10,0)),""))</f>
        <v/>
      </c>
      <c r="N172" s="0" t="str">
        <f aca="false">IF($A172="","",$L172-$K172+1)</f>
        <v/>
      </c>
      <c r="O172" s="39" t="str">
        <f aca="true">IF($A172="","",IF(OR($I172="Completed",$I172="Cancelled"),0,$L172-TODAY()))</f>
        <v/>
      </c>
      <c r="Q172" s="3"/>
      <c r="S172" s="0" t="str">
        <f aca="false">IF($A172="","",IF(AND($O172&lt;0,$I172&lt;&gt;"Completed",$I172&lt;&gt;"Cancelled"),1,0))</f>
        <v/>
      </c>
      <c r="T172" s="0" t="str">
        <f aca="false">IF($A172="","",IF($I172="Completed",ROW(),""))</f>
        <v/>
      </c>
      <c r="U172" s="0" t="str">
        <f aca="false">IF($A172="","",IF(OR($I172="Not Started",$I172="Planning",$I172="Blocked"),ROW(),""))</f>
        <v/>
      </c>
    </row>
    <row r="173" customFormat="false" ht="15" hidden="false" customHeight="false" outlineLevel="0" collapsed="false">
      <c r="B173" s="3"/>
      <c r="F173" s="3"/>
      <c r="G173" s="3"/>
      <c r="H173" s="3"/>
      <c r="I173" s="3"/>
      <c r="J173" s="37" t="str">
        <f aca="false">IF($A173="","",IFERROR(INDEX(Lists!$B$2:$B$10,MATCH($I173,Lists!$A$2:$A$10,0)),""))</f>
        <v/>
      </c>
      <c r="N173" s="0" t="str">
        <f aca="false">IF($A173="","",$L173-$K173+1)</f>
        <v/>
      </c>
      <c r="O173" s="39" t="str">
        <f aca="true">IF($A173="","",IF(OR($I173="Completed",$I173="Cancelled"),0,$L173-TODAY()))</f>
        <v/>
      </c>
      <c r="Q173" s="3"/>
      <c r="S173" s="0" t="str">
        <f aca="false">IF($A173="","",IF(AND($O173&lt;0,$I173&lt;&gt;"Completed",$I173&lt;&gt;"Cancelled"),1,0))</f>
        <v/>
      </c>
      <c r="T173" s="0" t="str">
        <f aca="false">IF($A173="","",IF($I173="Completed",ROW(),""))</f>
        <v/>
      </c>
      <c r="U173" s="0" t="str">
        <f aca="false">IF($A173="","",IF(OR($I173="Not Started",$I173="Planning",$I173="Blocked"),ROW(),""))</f>
        <v/>
      </c>
    </row>
    <row r="174" customFormat="false" ht="15" hidden="false" customHeight="false" outlineLevel="0" collapsed="false">
      <c r="B174" s="3"/>
      <c r="F174" s="3"/>
      <c r="G174" s="3"/>
      <c r="H174" s="3"/>
      <c r="I174" s="3"/>
      <c r="J174" s="37" t="str">
        <f aca="false">IF($A174="","",IFERROR(INDEX(Lists!$B$2:$B$10,MATCH($I174,Lists!$A$2:$A$10,0)),""))</f>
        <v/>
      </c>
      <c r="N174" s="0" t="str">
        <f aca="false">IF($A174="","",$L174-$K174+1)</f>
        <v/>
      </c>
      <c r="O174" s="39" t="str">
        <f aca="true">IF($A174="","",IF(OR($I174="Completed",$I174="Cancelled"),0,$L174-TODAY()))</f>
        <v/>
      </c>
      <c r="Q174" s="3"/>
      <c r="S174" s="0" t="str">
        <f aca="false">IF($A174="","",IF(AND($O174&lt;0,$I174&lt;&gt;"Completed",$I174&lt;&gt;"Cancelled"),1,0))</f>
        <v/>
      </c>
      <c r="T174" s="0" t="str">
        <f aca="false">IF($A174="","",IF($I174="Completed",ROW(),""))</f>
        <v/>
      </c>
      <c r="U174" s="0" t="str">
        <f aca="false">IF($A174="","",IF(OR($I174="Not Started",$I174="Planning",$I174="Blocked"),ROW(),""))</f>
        <v/>
      </c>
    </row>
    <row r="175" customFormat="false" ht="15" hidden="false" customHeight="false" outlineLevel="0" collapsed="false">
      <c r="B175" s="3"/>
      <c r="F175" s="3"/>
      <c r="G175" s="3"/>
      <c r="H175" s="3"/>
      <c r="I175" s="3"/>
      <c r="J175" s="37" t="str">
        <f aca="false">IF($A175="","",IFERROR(INDEX(Lists!$B$2:$B$10,MATCH($I175,Lists!$A$2:$A$10,0)),""))</f>
        <v/>
      </c>
      <c r="N175" s="0" t="str">
        <f aca="false">IF($A175="","",$L175-$K175+1)</f>
        <v/>
      </c>
      <c r="O175" s="39" t="str">
        <f aca="true">IF($A175="","",IF(OR($I175="Completed",$I175="Cancelled"),0,$L175-TODAY()))</f>
        <v/>
      </c>
      <c r="Q175" s="3"/>
      <c r="S175" s="0" t="str">
        <f aca="false">IF($A175="","",IF(AND($O175&lt;0,$I175&lt;&gt;"Completed",$I175&lt;&gt;"Cancelled"),1,0))</f>
        <v/>
      </c>
      <c r="T175" s="0" t="str">
        <f aca="false">IF($A175="","",IF($I175="Completed",ROW(),""))</f>
        <v/>
      </c>
      <c r="U175" s="0" t="str">
        <f aca="false">IF($A175="","",IF(OR($I175="Not Started",$I175="Planning",$I175="Blocked"),ROW(),""))</f>
        <v/>
      </c>
    </row>
    <row r="176" customFormat="false" ht="15" hidden="false" customHeight="false" outlineLevel="0" collapsed="false">
      <c r="B176" s="3"/>
      <c r="F176" s="3"/>
      <c r="G176" s="3"/>
      <c r="H176" s="3"/>
      <c r="I176" s="3"/>
      <c r="J176" s="37" t="str">
        <f aca="false">IF($A176="","",IFERROR(INDEX(Lists!$B$2:$B$10,MATCH($I176,Lists!$A$2:$A$10,0)),""))</f>
        <v/>
      </c>
      <c r="N176" s="0" t="str">
        <f aca="false">IF($A176="","",$L176-$K176+1)</f>
        <v/>
      </c>
      <c r="O176" s="39" t="str">
        <f aca="true">IF($A176="","",IF(OR($I176="Completed",$I176="Cancelled"),0,$L176-TODAY()))</f>
        <v/>
      </c>
      <c r="Q176" s="3"/>
      <c r="S176" s="0" t="str">
        <f aca="false">IF($A176="","",IF(AND($O176&lt;0,$I176&lt;&gt;"Completed",$I176&lt;&gt;"Cancelled"),1,0))</f>
        <v/>
      </c>
      <c r="T176" s="0" t="str">
        <f aca="false">IF($A176="","",IF($I176="Completed",ROW(),""))</f>
        <v/>
      </c>
      <c r="U176" s="0" t="str">
        <f aca="false">IF($A176="","",IF(OR($I176="Not Started",$I176="Planning",$I176="Blocked"),ROW(),""))</f>
        <v/>
      </c>
    </row>
    <row r="177" customFormat="false" ht="15" hidden="false" customHeight="false" outlineLevel="0" collapsed="false">
      <c r="B177" s="3"/>
      <c r="F177" s="3"/>
      <c r="G177" s="3"/>
      <c r="H177" s="3"/>
      <c r="I177" s="3"/>
      <c r="J177" s="37" t="str">
        <f aca="false">IF($A177="","",IFERROR(INDEX(Lists!$B$2:$B$10,MATCH($I177,Lists!$A$2:$A$10,0)),""))</f>
        <v/>
      </c>
      <c r="N177" s="0" t="str">
        <f aca="false">IF($A177="","",$L177-$K177+1)</f>
        <v/>
      </c>
      <c r="O177" s="39" t="str">
        <f aca="true">IF($A177="","",IF(OR($I177="Completed",$I177="Cancelled"),0,$L177-TODAY()))</f>
        <v/>
      </c>
      <c r="Q177" s="3"/>
      <c r="S177" s="0" t="str">
        <f aca="false">IF($A177="","",IF(AND($O177&lt;0,$I177&lt;&gt;"Completed",$I177&lt;&gt;"Cancelled"),1,0))</f>
        <v/>
      </c>
      <c r="T177" s="0" t="str">
        <f aca="false">IF($A177="","",IF($I177="Completed",ROW(),""))</f>
        <v/>
      </c>
      <c r="U177" s="0" t="str">
        <f aca="false">IF($A177="","",IF(OR($I177="Not Started",$I177="Planning",$I177="Blocked"),ROW(),""))</f>
        <v/>
      </c>
    </row>
    <row r="178" customFormat="false" ht="15" hidden="false" customHeight="false" outlineLevel="0" collapsed="false">
      <c r="B178" s="3"/>
      <c r="F178" s="3"/>
      <c r="G178" s="3"/>
      <c r="H178" s="3"/>
      <c r="I178" s="3"/>
      <c r="J178" s="37" t="str">
        <f aca="false">IF($A178="","",IFERROR(INDEX(Lists!$B$2:$B$10,MATCH($I178,Lists!$A$2:$A$10,0)),""))</f>
        <v/>
      </c>
      <c r="N178" s="0" t="str">
        <f aca="false">IF($A178="","",$L178-$K178+1)</f>
        <v/>
      </c>
      <c r="O178" s="39" t="str">
        <f aca="true">IF($A178="","",IF(OR($I178="Completed",$I178="Cancelled"),0,$L178-TODAY()))</f>
        <v/>
      </c>
      <c r="Q178" s="3"/>
      <c r="S178" s="0" t="str">
        <f aca="false">IF($A178="","",IF(AND($O178&lt;0,$I178&lt;&gt;"Completed",$I178&lt;&gt;"Cancelled"),1,0))</f>
        <v/>
      </c>
      <c r="T178" s="0" t="str">
        <f aca="false">IF($A178="","",IF($I178="Completed",ROW(),""))</f>
        <v/>
      </c>
      <c r="U178" s="0" t="str">
        <f aca="false">IF($A178="","",IF(OR($I178="Not Started",$I178="Planning",$I178="Blocked"),ROW(),""))</f>
        <v/>
      </c>
    </row>
    <row r="179" customFormat="false" ht="15" hidden="false" customHeight="false" outlineLevel="0" collapsed="false">
      <c r="B179" s="3"/>
      <c r="F179" s="3"/>
      <c r="G179" s="3"/>
      <c r="H179" s="3"/>
      <c r="I179" s="3"/>
      <c r="J179" s="37" t="str">
        <f aca="false">IF($A179="","",IFERROR(INDEX(Lists!$B$2:$B$10,MATCH($I179,Lists!$A$2:$A$10,0)),""))</f>
        <v/>
      </c>
      <c r="N179" s="0" t="str">
        <f aca="false">IF($A179="","",$L179-$K179+1)</f>
        <v/>
      </c>
      <c r="O179" s="39" t="str">
        <f aca="true">IF($A179="","",IF(OR($I179="Completed",$I179="Cancelled"),0,$L179-TODAY()))</f>
        <v/>
      </c>
      <c r="Q179" s="3"/>
      <c r="S179" s="0" t="str">
        <f aca="false">IF($A179="","",IF(AND($O179&lt;0,$I179&lt;&gt;"Completed",$I179&lt;&gt;"Cancelled"),1,0))</f>
        <v/>
      </c>
      <c r="T179" s="0" t="str">
        <f aca="false">IF($A179="","",IF($I179="Completed",ROW(),""))</f>
        <v/>
      </c>
      <c r="U179" s="0" t="str">
        <f aca="false">IF($A179="","",IF(OR($I179="Not Started",$I179="Planning",$I179="Blocked"),ROW(),""))</f>
        <v/>
      </c>
    </row>
    <row r="180" customFormat="false" ht="15" hidden="false" customHeight="false" outlineLevel="0" collapsed="false">
      <c r="B180" s="3"/>
      <c r="F180" s="3"/>
      <c r="G180" s="3"/>
      <c r="H180" s="3"/>
      <c r="I180" s="3"/>
      <c r="J180" s="37" t="str">
        <f aca="false">IF($A180="","",IFERROR(INDEX(Lists!$B$2:$B$10,MATCH($I180,Lists!$A$2:$A$10,0)),""))</f>
        <v/>
      </c>
      <c r="N180" s="0" t="str">
        <f aca="false">IF($A180="","",$L180-$K180+1)</f>
        <v/>
      </c>
      <c r="O180" s="39" t="str">
        <f aca="true">IF($A180="","",IF(OR($I180="Completed",$I180="Cancelled"),0,$L180-TODAY()))</f>
        <v/>
      </c>
      <c r="Q180" s="3"/>
      <c r="S180" s="0" t="str">
        <f aca="false">IF($A180="","",IF(AND($O180&lt;0,$I180&lt;&gt;"Completed",$I180&lt;&gt;"Cancelled"),1,0))</f>
        <v/>
      </c>
      <c r="T180" s="0" t="str">
        <f aca="false">IF($A180="","",IF($I180="Completed",ROW(),""))</f>
        <v/>
      </c>
      <c r="U180" s="0" t="str">
        <f aca="false">IF($A180="","",IF(OR($I180="Not Started",$I180="Planning",$I180="Blocked"),ROW(),""))</f>
        <v/>
      </c>
    </row>
    <row r="181" customFormat="false" ht="15" hidden="false" customHeight="false" outlineLevel="0" collapsed="false">
      <c r="B181" s="3"/>
      <c r="F181" s="3"/>
      <c r="G181" s="3"/>
      <c r="H181" s="3"/>
      <c r="I181" s="3"/>
      <c r="J181" s="37" t="str">
        <f aca="false">IF($A181="","",IFERROR(INDEX(Lists!$B$2:$B$10,MATCH($I181,Lists!$A$2:$A$10,0)),""))</f>
        <v/>
      </c>
      <c r="N181" s="0" t="str">
        <f aca="false">IF($A181="","",$L181-$K181+1)</f>
        <v/>
      </c>
      <c r="O181" s="39" t="str">
        <f aca="true">IF($A181="","",IF(OR($I181="Completed",$I181="Cancelled"),0,$L181-TODAY()))</f>
        <v/>
      </c>
      <c r="Q181" s="3"/>
      <c r="S181" s="0" t="str">
        <f aca="false">IF($A181="","",IF(AND($O181&lt;0,$I181&lt;&gt;"Completed",$I181&lt;&gt;"Cancelled"),1,0))</f>
        <v/>
      </c>
      <c r="T181" s="0" t="str">
        <f aca="false">IF($A181="","",IF($I181="Completed",ROW(),""))</f>
        <v/>
      </c>
      <c r="U181" s="0" t="str">
        <f aca="false">IF($A181="","",IF(OR($I181="Not Started",$I181="Planning",$I181="Blocked"),ROW(),""))</f>
        <v/>
      </c>
    </row>
    <row r="182" customFormat="false" ht="15" hidden="false" customHeight="false" outlineLevel="0" collapsed="false">
      <c r="B182" s="3"/>
      <c r="F182" s="3"/>
      <c r="G182" s="3"/>
      <c r="H182" s="3"/>
      <c r="I182" s="3"/>
      <c r="J182" s="37" t="str">
        <f aca="false">IF($A182="","",IFERROR(INDEX(Lists!$B$2:$B$10,MATCH($I182,Lists!$A$2:$A$10,0)),""))</f>
        <v/>
      </c>
      <c r="N182" s="0" t="str">
        <f aca="false">IF($A182="","",$L182-$K182+1)</f>
        <v/>
      </c>
      <c r="O182" s="39" t="str">
        <f aca="true">IF($A182="","",IF(OR($I182="Completed",$I182="Cancelled"),0,$L182-TODAY()))</f>
        <v/>
      </c>
      <c r="Q182" s="3"/>
      <c r="S182" s="0" t="str">
        <f aca="false">IF($A182="","",IF(AND($O182&lt;0,$I182&lt;&gt;"Completed",$I182&lt;&gt;"Cancelled"),1,0))</f>
        <v/>
      </c>
      <c r="T182" s="0" t="str">
        <f aca="false">IF($A182="","",IF($I182="Completed",ROW(),""))</f>
        <v/>
      </c>
      <c r="U182" s="0" t="str">
        <f aca="false">IF($A182="","",IF(OR($I182="Not Started",$I182="Planning",$I182="Blocked"),ROW(),""))</f>
        <v/>
      </c>
    </row>
    <row r="183" customFormat="false" ht="15" hidden="false" customHeight="false" outlineLevel="0" collapsed="false">
      <c r="B183" s="3"/>
      <c r="F183" s="3"/>
      <c r="G183" s="3"/>
      <c r="H183" s="3"/>
      <c r="I183" s="3"/>
      <c r="J183" s="37" t="str">
        <f aca="false">IF($A183="","",IFERROR(INDEX(Lists!$B$2:$B$10,MATCH($I183,Lists!$A$2:$A$10,0)),""))</f>
        <v/>
      </c>
      <c r="N183" s="0" t="str">
        <f aca="false">IF($A183="","",$L183-$K183+1)</f>
        <v/>
      </c>
      <c r="O183" s="39" t="str">
        <f aca="true">IF($A183="","",IF(OR($I183="Completed",$I183="Cancelled"),0,$L183-TODAY()))</f>
        <v/>
      </c>
      <c r="Q183" s="3"/>
      <c r="S183" s="0" t="str">
        <f aca="false">IF($A183="","",IF(AND($O183&lt;0,$I183&lt;&gt;"Completed",$I183&lt;&gt;"Cancelled"),1,0))</f>
        <v/>
      </c>
      <c r="T183" s="0" t="str">
        <f aca="false">IF($A183="","",IF($I183="Completed",ROW(),""))</f>
        <v/>
      </c>
      <c r="U183" s="0" t="str">
        <f aca="false">IF($A183="","",IF(OR($I183="Not Started",$I183="Planning",$I183="Blocked"),ROW(),""))</f>
        <v/>
      </c>
    </row>
    <row r="184" customFormat="false" ht="15" hidden="false" customHeight="false" outlineLevel="0" collapsed="false">
      <c r="B184" s="3"/>
      <c r="F184" s="3"/>
      <c r="G184" s="3"/>
      <c r="H184" s="3"/>
      <c r="I184" s="3"/>
      <c r="J184" s="37" t="str">
        <f aca="false">IF($A184="","",IFERROR(INDEX(Lists!$B$2:$B$10,MATCH($I184,Lists!$A$2:$A$10,0)),""))</f>
        <v/>
      </c>
      <c r="N184" s="0" t="str">
        <f aca="false">IF($A184="","",$L184-$K184+1)</f>
        <v/>
      </c>
      <c r="O184" s="39" t="str">
        <f aca="true">IF($A184="","",IF(OR($I184="Completed",$I184="Cancelled"),0,$L184-TODAY()))</f>
        <v/>
      </c>
      <c r="Q184" s="3"/>
      <c r="S184" s="0" t="str">
        <f aca="false">IF($A184="","",IF(AND($O184&lt;0,$I184&lt;&gt;"Completed",$I184&lt;&gt;"Cancelled"),1,0))</f>
        <v/>
      </c>
      <c r="T184" s="0" t="str">
        <f aca="false">IF($A184="","",IF($I184="Completed",ROW(),""))</f>
        <v/>
      </c>
      <c r="U184" s="0" t="str">
        <f aca="false">IF($A184="","",IF(OR($I184="Not Started",$I184="Planning",$I184="Blocked"),ROW(),""))</f>
        <v/>
      </c>
    </row>
    <row r="185" customFormat="false" ht="15" hidden="false" customHeight="false" outlineLevel="0" collapsed="false">
      <c r="B185" s="3"/>
      <c r="F185" s="3"/>
      <c r="G185" s="3"/>
      <c r="H185" s="3"/>
      <c r="I185" s="3"/>
      <c r="J185" s="37" t="str">
        <f aca="false">IF($A185="","",IFERROR(INDEX(Lists!$B$2:$B$10,MATCH($I185,Lists!$A$2:$A$10,0)),""))</f>
        <v/>
      </c>
      <c r="N185" s="0" t="str">
        <f aca="false">IF($A185="","",$L185-$K185+1)</f>
        <v/>
      </c>
      <c r="O185" s="39" t="str">
        <f aca="true">IF($A185="","",IF(OR($I185="Completed",$I185="Cancelled"),0,$L185-TODAY()))</f>
        <v/>
      </c>
      <c r="Q185" s="3"/>
      <c r="S185" s="0" t="str">
        <f aca="false">IF($A185="","",IF(AND($O185&lt;0,$I185&lt;&gt;"Completed",$I185&lt;&gt;"Cancelled"),1,0))</f>
        <v/>
      </c>
      <c r="T185" s="0" t="str">
        <f aca="false">IF($A185="","",IF($I185="Completed",ROW(),""))</f>
        <v/>
      </c>
      <c r="U185" s="0" t="str">
        <f aca="false">IF($A185="","",IF(OR($I185="Not Started",$I185="Planning",$I185="Blocked"),ROW(),""))</f>
        <v/>
      </c>
    </row>
    <row r="186" customFormat="false" ht="15" hidden="false" customHeight="false" outlineLevel="0" collapsed="false">
      <c r="B186" s="3"/>
      <c r="F186" s="3"/>
      <c r="G186" s="3"/>
      <c r="H186" s="3"/>
      <c r="I186" s="3"/>
      <c r="J186" s="37" t="str">
        <f aca="false">IF($A186="","",IFERROR(INDEX(Lists!$B$2:$B$10,MATCH($I186,Lists!$A$2:$A$10,0)),""))</f>
        <v/>
      </c>
      <c r="N186" s="0" t="str">
        <f aca="false">IF($A186="","",$L186-$K186+1)</f>
        <v/>
      </c>
      <c r="O186" s="39" t="str">
        <f aca="true">IF($A186="","",IF(OR($I186="Completed",$I186="Cancelled"),0,$L186-TODAY()))</f>
        <v/>
      </c>
      <c r="Q186" s="3"/>
      <c r="S186" s="0" t="str">
        <f aca="false">IF($A186="","",IF(AND($O186&lt;0,$I186&lt;&gt;"Completed",$I186&lt;&gt;"Cancelled"),1,0))</f>
        <v/>
      </c>
      <c r="T186" s="0" t="str">
        <f aca="false">IF($A186="","",IF($I186="Completed",ROW(),""))</f>
        <v/>
      </c>
      <c r="U186" s="0" t="str">
        <f aca="false">IF($A186="","",IF(OR($I186="Not Started",$I186="Planning",$I186="Blocked"),ROW(),""))</f>
        <v/>
      </c>
    </row>
    <row r="187" customFormat="false" ht="15" hidden="false" customHeight="false" outlineLevel="0" collapsed="false">
      <c r="B187" s="3"/>
      <c r="F187" s="3"/>
      <c r="G187" s="3"/>
      <c r="H187" s="3"/>
      <c r="I187" s="3"/>
      <c r="J187" s="37" t="str">
        <f aca="false">IF($A187="","",IFERROR(INDEX(Lists!$B$2:$B$10,MATCH($I187,Lists!$A$2:$A$10,0)),""))</f>
        <v/>
      </c>
      <c r="N187" s="0" t="str">
        <f aca="false">IF($A187="","",$L187-$K187+1)</f>
        <v/>
      </c>
      <c r="O187" s="39" t="str">
        <f aca="true">IF($A187="","",IF(OR($I187="Completed",$I187="Cancelled"),0,$L187-TODAY()))</f>
        <v/>
      </c>
      <c r="Q187" s="3"/>
      <c r="S187" s="0" t="str">
        <f aca="false">IF($A187="","",IF(AND($O187&lt;0,$I187&lt;&gt;"Completed",$I187&lt;&gt;"Cancelled"),1,0))</f>
        <v/>
      </c>
      <c r="T187" s="0" t="str">
        <f aca="false">IF($A187="","",IF($I187="Completed",ROW(),""))</f>
        <v/>
      </c>
      <c r="U187" s="0" t="str">
        <f aca="false">IF($A187="","",IF(OR($I187="Not Started",$I187="Planning",$I187="Blocked"),ROW(),""))</f>
        <v/>
      </c>
    </row>
    <row r="188" customFormat="false" ht="15" hidden="false" customHeight="false" outlineLevel="0" collapsed="false">
      <c r="B188" s="3"/>
      <c r="F188" s="3"/>
      <c r="G188" s="3"/>
      <c r="H188" s="3"/>
      <c r="I188" s="3"/>
      <c r="J188" s="37" t="str">
        <f aca="false">IF($A188="","",IFERROR(INDEX(Lists!$B$2:$B$10,MATCH($I188,Lists!$A$2:$A$10,0)),""))</f>
        <v/>
      </c>
      <c r="N188" s="0" t="str">
        <f aca="false">IF($A188="","",$L188-$K188+1)</f>
        <v/>
      </c>
      <c r="O188" s="39" t="str">
        <f aca="true">IF($A188="","",IF(OR($I188="Completed",$I188="Cancelled"),0,$L188-TODAY()))</f>
        <v/>
      </c>
      <c r="Q188" s="3"/>
      <c r="S188" s="0" t="str">
        <f aca="false">IF($A188="","",IF(AND($O188&lt;0,$I188&lt;&gt;"Completed",$I188&lt;&gt;"Cancelled"),1,0))</f>
        <v/>
      </c>
      <c r="T188" s="0" t="str">
        <f aca="false">IF($A188="","",IF($I188="Completed",ROW(),""))</f>
        <v/>
      </c>
      <c r="U188" s="0" t="str">
        <f aca="false">IF($A188="","",IF(OR($I188="Not Started",$I188="Planning",$I188="Blocked"),ROW(),""))</f>
        <v/>
      </c>
    </row>
    <row r="189" customFormat="false" ht="15" hidden="false" customHeight="false" outlineLevel="0" collapsed="false">
      <c r="B189" s="3"/>
      <c r="F189" s="3"/>
      <c r="G189" s="3"/>
      <c r="H189" s="3"/>
      <c r="I189" s="3"/>
      <c r="J189" s="37" t="str">
        <f aca="false">IF($A189="","",IFERROR(INDEX(Lists!$B$2:$B$10,MATCH($I189,Lists!$A$2:$A$10,0)),""))</f>
        <v/>
      </c>
      <c r="N189" s="0" t="str">
        <f aca="false">IF($A189="","",$L189-$K189+1)</f>
        <v/>
      </c>
      <c r="O189" s="39" t="str">
        <f aca="true">IF($A189="","",IF(OR($I189="Completed",$I189="Cancelled"),0,$L189-TODAY()))</f>
        <v/>
      </c>
      <c r="Q189" s="3"/>
      <c r="S189" s="0" t="str">
        <f aca="false">IF($A189="","",IF(AND($O189&lt;0,$I189&lt;&gt;"Completed",$I189&lt;&gt;"Cancelled"),1,0))</f>
        <v/>
      </c>
      <c r="T189" s="0" t="str">
        <f aca="false">IF($A189="","",IF($I189="Completed",ROW(),""))</f>
        <v/>
      </c>
      <c r="U189" s="0" t="str">
        <f aca="false">IF($A189="","",IF(OR($I189="Not Started",$I189="Planning",$I189="Blocked"),ROW(),""))</f>
        <v/>
      </c>
    </row>
    <row r="190" customFormat="false" ht="15" hidden="false" customHeight="false" outlineLevel="0" collapsed="false">
      <c r="B190" s="3"/>
      <c r="F190" s="3"/>
      <c r="G190" s="3"/>
      <c r="H190" s="3"/>
      <c r="I190" s="3"/>
      <c r="J190" s="37" t="str">
        <f aca="false">IF($A190="","",IFERROR(INDEX(Lists!$B$2:$B$10,MATCH($I190,Lists!$A$2:$A$10,0)),""))</f>
        <v/>
      </c>
      <c r="N190" s="0" t="str">
        <f aca="false">IF($A190="","",$L190-$K190+1)</f>
        <v/>
      </c>
      <c r="O190" s="39" t="str">
        <f aca="true">IF($A190="","",IF(OR($I190="Completed",$I190="Cancelled"),0,$L190-TODAY()))</f>
        <v/>
      </c>
      <c r="Q190" s="3"/>
      <c r="S190" s="0" t="str">
        <f aca="false">IF($A190="","",IF(AND($O190&lt;0,$I190&lt;&gt;"Completed",$I190&lt;&gt;"Cancelled"),1,0))</f>
        <v/>
      </c>
      <c r="T190" s="0" t="str">
        <f aca="false">IF($A190="","",IF($I190="Completed",ROW(),""))</f>
        <v/>
      </c>
      <c r="U190" s="0" t="str">
        <f aca="false">IF($A190="","",IF(OR($I190="Not Started",$I190="Planning",$I190="Blocked"),ROW(),""))</f>
        <v/>
      </c>
    </row>
    <row r="191" customFormat="false" ht="15" hidden="false" customHeight="false" outlineLevel="0" collapsed="false">
      <c r="B191" s="3"/>
      <c r="F191" s="3"/>
      <c r="G191" s="3"/>
      <c r="H191" s="3"/>
      <c r="I191" s="3"/>
      <c r="J191" s="37" t="str">
        <f aca="false">IF($A191="","",IFERROR(INDEX(Lists!$B$2:$B$10,MATCH($I191,Lists!$A$2:$A$10,0)),""))</f>
        <v/>
      </c>
      <c r="N191" s="0" t="str">
        <f aca="false">IF($A191="","",$L191-$K191+1)</f>
        <v/>
      </c>
      <c r="O191" s="39" t="str">
        <f aca="true">IF($A191="","",IF(OR($I191="Completed",$I191="Cancelled"),0,$L191-TODAY()))</f>
        <v/>
      </c>
      <c r="Q191" s="3"/>
      <c r="S191" s="0" t="str">
        <f aca="false">IF($A191="","",IF(AND($O191&lt;0,$I191&lt;&gt;"Completed",$I191&lt;&gt;"Cancelled"),1,0))</f>
        <v/>
      </c>
      <c r="T191" s="0" t="str">
        <f aca="false">IF($A191="","",IF($I191="Completed",ROW(),""))</f>
        <v/>
      </c>
      <c r="U191" s="0" t="str">
        <f aca="false">IF($A191="","",IF(OR($I191="Not Started",$I191="Planning",$I191="Blocked"),ROW(),""))</f>
        <v/>
      </c>
    </row>
    <row r="192" customFormat="false" ht="15" hidden="false" customHeight="false" outlineLevel="0" collapsed="false">
      <c r="B192" s="3"/>
      <c r="F192" s="3"/>
      <c r="G192" s="3"/>
      <c r="H192" s="3"/>
      <c r="I192" s="3"/>
      <c r="J192" s="37" t="str">
        <f aca="false">IF($A192="","",IFERROR(INDEX(Lists!$B$2:$B$10,MATCH($I192,Lists!$A$2:$A$10,0)),""))</f>
        <v/>
      </c>
      <c r="N192" s="0" t="str">
        <f aca="false">IF($A192="","",$L192-$K192+1)</f>
        <v/>
      </c>
      <c r="O192" s="39" t="str">
        <f aca="true">IF($A192="","",IF(OR($I192="Completed",$I192="Cancelled"),0,$L192-TODAY()))</f>
        <v/>
      </c>
      <c r="Q192" s="3"/>
      <c r="S192" s="0" t="str">
        <f aca="false">IF($A192="","",IF(AND($O192&lt;0,$I192&lt;&gt;"Completed",$I192&lt;&gt;"Cancelled"),1,0))</f>
        <v/>
      </c>
      <c r="T192" s="0" t="str">
        <f aca="false">IF($A192="","",IF($I192="Completed",ROW(),""))</f>
        <v/>
      </c>
      <c r="U192" s="0" t="str">
        <f aca="false">IF($A192="","",IF(OR($I192="Not Started",$I192="Planning",$I192="Blocked"),ROW(),""))</f>
        <v/>
      </c>
    </row>
    <row r="193" customFormat="false" ht="15" hidden="false" customHeight="false" outlineLevel="0" collapsed="false">
      <c r="B193" s="3"/>
      <c r="F193" s="3"/>
      <c r="G193" s="3"/>
      <c r="H193" s="3"/>
      <c r="I193" s="3"/>
      <c r="J193" s="37" t="str">
        <f aca="false">IF($A193="","",IFERROR(INDEX(Lists!$B$2:$B$10,MATCH($I193,Lists!$A$2:$A$10,0)),""))</f>
        <v/>
      </c>
      <c r="N193" s="0" t="str">
        <f aca="false">IF($A193="","",$L193-$K193+1)</f>
        <v/>
      </c>
      <c r="O193" s="39" t="str">
        <f aca="true">IF($A193="","",IF(OR($I193="Completed",$I193="Cancelled"),0,$L193-TODAY()))</f>
        <v/>
      </c>
      <c r="Q193" s="3"/>
      <c r="S193" s="0" t="str">
        <f aca="false">IF($A193="","",IF(AND($O193&lt;0,$I193&lt;&gt;"Completed",$I193&lt;&gt;"Cancelled"),1,0))</f>
        <v/>
      </c>
      <c r="T193" s="0" t="str">
        <f aca="false">IF($A193="","",IF($I193="Completed",ROW(),""))</f>
        <v/>
      </c>
      <c r="U193" s="0" t="str">
        <f aca="false">IF($A193="","",IF(OR($I193="Not Started",$I193="Planning",$I193="Blocked"),ROW(),""))</f>
        <v/>
      </c>
    </row>
    <row r="194" customFormat="false" ht="15" hidden="false" customHeight="false" outlineLevel="0" collapsed="false">
      <c r="B194" s="3"/>
      <c r="F194" s="3"/>
      <c r="G194" s="3"/>
      <c r="H194" s="3"/>
      <c r="I194" s="3"/>
      <c r="J194" s="37" t="str">
        <f aca="false">IF($A194="","",IFERROR(INDEX(Lists!$B$2:$B$10,MATCH($I194,Lists!$A$2:$A$10,0)),""))</f>
        <v/>
      </c>
      <c r="N194" s="0" t="str">
        <f aca="false">IF($A194="","",$L194-$K194+1)</f>
        <v/>
      </c>
      <c r="O194" s="39" t="str">
        <f aca="true">IF($A194="","",IF(OR($I194="Completed",$I194="Cancelled"),0,$L194-TODAY()))</f>
        <v/>
      </c>
      <c r="Q194" s="3"/>
      <c r="S194" s="0" t="str">
        <f aca="false">IF($A194="","",IF(AND($O194&lt;0,$I194&lt;&gt;"Completed",$I194&lt;&gt;"Cancelled"),1,0))</f>
        <v/>
      </c>
      <c r="T194" s="0" t="str">
        <f aca="false">IF($A194="","",IF($I194="Completed",ROW(),""))</f>
        <v/>
      </c>
      <c r="U194" s="0" t="str">
        <f aca="false">IF($A194="","",IF(OR($I194="Not Started",$I194="Planning",$I194="Blocked"),ROW(),""))</f>
        <v/>
      </c>
    </row>
    <row r="195" customFormat="false" ht="15" hidden="false" customHeight="false" outlineLevel="0" collapsed="false">
      <c r="B195" s="3"/>
      <c r="F195" s="3"/>
      <c r="G195" s="3"/>
      <c r="H195" s="3"/>
      <c r="I195" s="3"/>
      <c r="J195" s="37" t="str">
        <f aca="false">IF($A195="","",IFERROR(INDEX(Lists!$B$2:$B$10,MATCH($I195,Lists!$A$2:$A$10,0)),""))</f>
        <v/>
      </c>
      <c r="N195" s="0" t="str">
        <f aca="false">IF($A195="","",$L195-$K195+1)</f>
        <v/>
      </c>
      <c r="O195" s="39" t="str">
        <f aca="true">IF($A195="","",IF(OR($I195="Completed",$I195="Cancelled"),0,$L195-TODAY()))</f>
        <v/>
      </c>
      <c r="Q195" s="3"/>
      <c r="S195" s="0" t="str">
        <f aca="false">IF($A195="","",IF(AND($O195&lt;0,$I195&lt;&gt;"Completed",$I195&lt;&gt;"Cancelled"),1,0))</f>
        <v/>
      </c>
      <c r="T195" s="0" t="str">
        <f aca="false">IF($A195="","",IF($I195="Completed",ROW(),""))</f>
        <v/>
      </c>
      <c r="U195" s="0" t="str">
        <f aca="false">IF($A195="","",IF(OR($I195="Not Started",$I195="Planning",$I195="Blocked"),ROW(),""))</f>
        <v/>
      </c>
    </row>
    <row r="196" customFormat="false" ht="15" hidden="false" customHeight="false" outlineLevel="0" collapsed="false">
      <c r="B196" s="3"/>
      <c r="F196" s="3"/>
      <c r="G196" s="3"/>
      <c r="H196" s="3"/>
      <c r="I196" s="3"/>
      <c r="J196" s="37" t="str">
        <f aca="false">IF($A196="","",IFERROR(INDEX(Lists!$B$2:$B$10,MATCH($I196,Lists!$A$2:$A$10,0)),""))</f>
        <v/>
      </c>
      <c r="N196" s="0" t="str">
        <f aca="false">IF($A196="","",$L196-$K196+1)</f>
        <v/>
      </c>
      <c r="O196" s="39" t="str">
        <f aca="true">IF($A196="","",IF(OR($I196="Completed",$I196="Cancelled"),0,$L196-TODAY()))</f>
        <v/>
      </c>
      <c r="Q196" s="3"/>
      <c r="S196" s="0" t="str">
        <f aca="false">IF($A196="","",IF(AND($O196&lt;0,$I196&lt;&gt;"Completed",$I196&lt;&gt;"Cancelled"),1,0))</f>
        <v/>
      </c>
      <c r="T196" s="0" t="str">
        <f aca="false">IF($A196="","",IF($I196="Completed",ROW(),""))</f>
        <v/>
      </c>
      <c r="U196" s="0" t="str">
        <f aca="false">IF($A196="","",IF(OR($I196="Not Started",$I196="Planning",$I196="Blocked"),ROW(),""))</f>
        <v/>
      </c>
    </row>
    <row r="197" customFormat="false" ht="15" hidden="false" customHeight="false" outlineLevel="0" collapsed="false">
      <c r="B197" s="3"/>
      <c r="F197" s="3"/>
      <c r="G197" s="3"/>
      <c r="H197" s="3"/>
      <c r="I197" s="3"/>
      <c r="J197" s="37" t="str">
        <f aca="false">IF($A197="","",IFERROR(INDEX(Lists!$B$2:$B$10,MATCH($I197,Lists!$A$2:$A$10,0)),""))</f>
        <v/>
      </c>
      <c r="N197" s="0" t="str">
        <f aca="false">IF($A197="","",$L197-$K197+1)</f>
        <v/>
      </c>
      <c r="O197" s="39" t="str">
        <f aca="true">IF($A197="","",IF(OR($I197="Completed",$I197="Cancelled"),0,$L197-TODAY()))</f>
        <v/>
      </c>
      <c r="Q197" s="3"/>
      <c r="S197" s="0" t="str">
        <f aca="false">IF($A197="","",IF(AND($O197&lt;0,$I197&lt;&gt;"Completed",$I197&lt;&gt;"Cancelled"),1,0))</f>
        <v/>
      </c>
      <c r="T197" s="0" t="str">
        <f aca="false">IF($A197="","",IF($I197="Completed",ROW(),""))</f>
        <v/>
      </c>
      <c r="U197" s="0" t="str">
        <f aca="false">IF($A197="","",IF(OR($I197="Not Started",$I197="Planning",$I197="Blocked"),ROW(),""))</f>
        <v/>
      </c>
    </row>
    <row r="198" customFormat="false" ht="15" hidden="false" customHeight="false" outlineLevel="0" collapsed="false">
      <c r="B198" s="3"/>
      <c r="F198" s="3"/>
      <c r="G198" s="3"/>
      <c r="H198" s="3"/>
      <c r="I198" s="3"/>
      <c r="J198" s="37" t="str">
        <f aca="false">IF($A198="","",IFERROR(INDEX(Lists!$B$2:$B$10,MATCH($I198,Lists!$A$2:$A$10,0)),""))</f>
        <v/>
      </c>
      <c r="N198" s="0" t="str">
        <f aca="false">IF($A198="","",$L198-$K198+1)</f>
        <v/>
      </c>
      <c r="O198" s="39" t="str">
        <f aca="true">IF($A198="","",IF(OR($I198="Completed",$I198="Cancelled"),0,$L198-TODAY()))</f>
        <v/>
      </c>
      <c r="Q198" s="3"/>
      <c r="S198" s="0" t="str">
        <f aca="false">IF($A198="","",IF(AND($O198&lt;0,$I198&lt;&gt;"Completed",$I198&lt;&gt;"Cancelled"),1,0))</f>
        <v/>
      </c>
      <c r="T198" s="0" t="str">
        <f aca="false">IF($A198="","",IF($I198="Completed",ROW(),""))</f>
        <v/>
      </c>
      <c r="U198" s="0" t="str">
        <f aca="false">IF($A198="","",IF(OR($I198="Not Started",$I198="Planning",$I198="Blocked"),ROW(),""))</f>
        <v/>
      </c>
    </row>
    <row r="199" customFormat="false" ht="15" hidden="false" customHeight="false" outlineLevel="0" collapsed="false">
      <c r="B199" s="3"/>
      <c r="F199" s="3"/>
      <c r="G199" s="3"/>
      <c r="H199" s="3"/>
      <c r="I199" s="3"/>
      <c r="J199" s="37" t="str">
        <f aca="false">IF($A199="","",IFERROR(INDEX(Lists!$B$2:$B$10,MATCH($I199,Lists!$A$2:$A$10,0)),""))</f>
        <v/>
      </c>
      <c r="N199" s="0" t="str">
        <f aca="false">IF($A199="","",$L199-$K199+1)</f>
        <v/>
      </c>
      <c r="O199" s="39" t="str">
        <f aca="true">IF($A199="","",IF(OR($I199="Completed",$I199="Cancelled"),0,$L199-TODAY()))</f>
        <v/>
      </c>
      <c r="Q199" s="3"/>
      <c r="S199" s="0" t="str">
        <f aca="false">IF($A199="","",IF(AND($O199&lt;0,$I199&lt;&gt;"Completed",$I199&lt;&gt;"Cancelled"),1,0))</f>
        <v/>
      </c>
      <c r="T199" s="0" t="str">
        <f aca="false">IF($A199="","",IF($I199="Completed",ROW(),""))</f>
        <v/>
      </c>
      <c r="U199" s="0" t="str">
        <f aca="false">IF($A199="","",IF(OR($I199="Not Started",$I199="Planning",$I199="Blocked"),ROW(),""))</f>
        <v/>
      </c>
    </row>
    <row r="200" customFormat="false" ht="15" hidden="false" customHeight="false" outlineLevel="0" collapsed="false">
      <c r="B200" s="3"/>
      <c r="F200" s="3"/>
      <c r="G200" s="3"/>
      <c r="H200" s="3"/>
      <c r="I200" s="3"/>
      <c r="J200" s="37" t="str">
        <f aca="false">IF($A200="","",IFERROR(INDEX(Lists!$B$2:$B$10,MATCH($I200,Lists!$A$2:$A$10,0)),""))</f>
        <v/>
      </c>
      <c r="N200" s="0" t="str">
        <f aca="false">IF($A200="","",$L200-$K200+1)</f>
        <v/>
      </c>
      <c r="O200" s="39" t="str">
        <f aca="true">IF($A200="","",IF(OR($I200="Completed",$I200="Cancelled"),0,$L200-TODAY()))</f>
        <v/>
      </c>
      <c r="Q200" s="3"/>
      <c r="S200" s="0" t="str">
        <f aca="false">IF($A200="","",IF(AND($O200&lt;0,$I200&lt;&gt;"Completed",$I200&lt;&gt;"Cancelled"),1,0))</f>
        <v/>
      </c>
      <c r="T200" s="0" t="str">
        <f aca="false">IF($A200="","",IF($I200="Completed",ROW(),""))</f>
        <v/>
      </c>
      <c r="U200" s="0" t="str">
        <f aca="false">IF($A200="","",IF(OR($I200="Not Started",$I200="Planning",$I200="Blocked"),ROW(),""))</f>
        <v/>
      </c>
    </row>
    <row r="201" customFormat="false" ht="15" hidden="false" customHeight="false" outlineLevel="0" collapsed="false">
      <c r="B201" s="3"/>
      <c r="F201" s="3"/>
      <c r="G201" s="3"/>
      <c r="H201" s="3"/>
      <c r="I201" s="3"/>
      <c r="J201" s="37" t="str">
        <f aca="false">IF($A201="","",IFERROR(INDEX(Lists!$B$2:$B$10,MATCH($I201,Lists!$A$2:$A$10,0)),""))</f>
        <v/>
      </c>
      <c r="N201" s="0" t="str">
        <f aca="false">IF($A201="","",$L201-$K201+1)</f>
        <v/>
      </c>
      <c r="O201" s="39" t="str">
        <f aca="true">IF($A201="","",IF(OR($I201="Completed",$I201="Cancelled"),0,$L201-TODAY()))</f>
        <v/>
      </c>
      <c r="Q201" s="3"/>
      <c r="S201" s="0" t="str">
        <f aca="false">IF($A201="","",IF(AND($O201&lt;0,$I201&lt;&gt;"Completed",$I201&lt;&gt;"Cancelled"),1,0))</f>
        <v/>
      </c>
      <c r="T201" s="0" t="str">
        <f aca="false">IF($A201="","",IF($I201="Completed",ROW(),""))</f>
        <v/>
      </c>
      <c r="U201" s="0" t="str">
        <f aca="false">IF($A201="","",IF(OR($I201="Not Started",$I201="Planning",$I201="Blocked"),ROW(),""))</f>
        <v/>
      </c>
    </row>
    <row r="202" customFormat="false" ht="15" hidden="false" customHeight="false" outlineLevel="0" collapsed="false">
      <c r="B202" s="3"/>
      <c r="F202" s="3"/>
      <c r="G202" s="3"/>
      <c r="H202" s="3"/>
      <c r="I202" s="3"/>
      <c r="J202" s="37" t="str">
        <f aca="false">IF($A202="","",IFERROR(INDEX(Lists!$B$2:$B$10,MATCH($I202,Lists!$A$2:$A$10,0)),""))</f>
        <v/>
      </c>
      <c r="N202" s="0" t="str">
        <f aca="false">IF($A202="","",$L202-$K202+1)</f>
        <v/>
      </c>
      <c r="O202" s="39" t="str">
        <f aca="true">IF($A202="","",IF(OR($I202="Completed",$I202="Cancelled"),0,$L202-TODAY()))</f>
        <v/>
      </c>
      <c r="Q202" s="3"/>
      <c r="S202" s="0" t="str">
        <f aca="false">IF($A202="","",IF(AND($O202&lt;0,$I202&lt;&gt;"Completed",$I202&lt;&gt;"Cancelled"),1,0))</f>
        <v/>
      </c>
      <c r="T202" s="0" t="str">
        <f aca="false">IF($A202="","",IF($I202="Completed",ROW(),""))</f>
        <v/>
      </c>
      <c r="U202" s="0" t="str">
        <f aca="false">IF($A202="","",IF(OR($I202="Not Started",$I202="Planning",$I202="Blocked"),ROW(),""))</f>
        <v/>
      </c>
    </row>
    <row r="203" customFormat="false" ht="15" hidden="false" customHeight="false" outlineLevel="0" collapsed="false">
      <c r="B203" s="3"/>
      <c r="F203" s="3"/>
      <c r="G203" s="3"/>
      <c r="H203" s="3"/>
      <c r="I203" s="3"/>
      <c r="J203" s="37" t="str">
        <f aca="false">IF($A203="","",IFERROR(INDEX(Lists!$B$2:$B$10,MATCH($I203,Lists!$A$2:$A$10,0)),""))</f>
        <v/>
      </c>
      <c r="N203" s="0" t="str">
        <f aca="false">IF($A203="","",$L203-$K203+1)</f>
        <v/>
      </c>
      <c r="O203" s="39" t="str">
        <f aca="true">IF($A203="","",IF(OR($I203="Completed",$I203="Cancelled"),0,$L203-TODAY()))</f>
        <v/>
      </c>
      <c r="Q203" s="3"/>
      <c r="S203" s="0" t="str">
        <f aca="false">IF($A203="","",IF(AND($O203&lt;0,$I203&lt;&gt;"Completed",$I203&lt;&gt;"Cancelled"),1,0))</f>
        <v/>
      </c>
      <c r="T203" s="0" t="str">
        <f aca="false">IF($A203="","",IF($I203="Completed",ROW(),""))</f>
        <v/>
      </c>
      <c r="U203" s="0" t="str">
        <f aca="false">IF($A203="","",IF(OR($I203="Not Started",$I203="Planning",$I203="Blocked"),ROW(),""))</f>
        <v/>
      </c>
    </row>
    <row r="204" customFormat="false" ht="15" hidden="false" customHeight="false" outlineLevel="0" collapsed="false">
      <c r="B204" s="3"/>
      <c r="F204" s="3"/>
      <c r="G204" s="3"/>
      <c r="H204" s="3"/>
      <c r="I204" s="3"/>
      <c r="J204" s="37" t="str">
        <f aca="false">IF($A204="","",IFERROR(INDEX(Lists!$B$2:$B$10,MATCH($I204,Lists!$A$2:$A$10,0)),""))</f>
        <v/>
      </c>
      <c r="N204" s="0" t="str">
        <f aca="false">IF($A204="","",$L204-$K204+1)</f>
        <v/>
      </c>
      <c r="O204" s="39" t="str">
        <f aca="true">IF($A204="","",IF(OR($I204="Completed",$I204="Cancelled"),0,$L204-TODAY()))</f>
        <v/>
      </c>
      <c r="Q204" s="3"/>
      <c r="S204" s="0" t="str">
        <f aca="false">IF($A204="","",IF(AND($O204&lt;0,$I204&lt;&gt;"Completed",$I204&lt;&gt;"Cancelled"),1,0))</f>
        <v/>
      </c>
      <c r="T204" s="0" t="str">
        <f aca="false">IF($A204="","",IF($I204="Completed",ROW(),""))</f>
        <v/>
      </c>
      <c r="U204" s="0" t="str">
        <f aca="false">IF($A204="","",IF(OR($I204="Not Started",$I204="Planning",$I204="Blocked"),ROW(),""))</f>
        <v/>
      </c>
    </row>
    <row r="205" customFormat="false" ht="15" hidden="false" customHeight="false" outlineLevel="0" collapsed="false">
      <c r="B205" s="3"/>
      <c r="F205" s="3"/>
      <c r="G205" s="3"/>
      <c r="H205" s="3"/>
      <c r="I205" s="3"/>
      <c r="J205" s="37" t="str">
        <f aca="false">IF($A205="","",IFERROR(INDEX(Lists!$B$2:$B$10,MATCH($I205,Lists!$A$2:$A$10,0)),""))</f>
        <v/>
      </c>
      <c r="N205" s="0" t="str">
        <f aca="false">IF($A205="","",$L205-$K205+1)</f>
        <v/>
      </c>
      <c r="O205" s="39" t="str">
        <f aca="true">IF($A205="","",IF(OR($I205="Completed",$I205="Cancelled"),0,$L205-TODAY()))</f>
        <v/>
      </c>
      <c r="Q205" s="3"/>
      <c r="S205" s="0" t="str">
        <f aca="false">IF($A205="","",IF(AND($O205&lt;0,$I205&lt;&gt;"Completed",$I205&lt;&gt;"Cancelled"),1,0))</f>
        <v/>
      </c>
      <c r="T205" s="0" t="str">
        <f aca="false">IF($A205="","",IF($I205="Completed",ROW(),""))</f>
        <v/>
      </c>
      <c r="U205" s="0" t="str">
        <f aca="false">IF($A205="","",IF(OR($I205="Not Started",$I205="Planning",$I205="Blocked"),ROW(),""))</f>
        <v/>
      </c>
    </row>
    <row r="206" customFormat="false" ht="15" hidden="false" customHeight="false" outlineLevel="0" collapsed="false">
      <c r="B206" s="3"/>
      <c r="F206" s="3"/>
      <c r="G206" s="3"/>
      <c r="H206" s="3"/>
      <c r="I206" s="3"/>
      <c r="J206" s="37" t="str">
        <f aca="false">IF($A206="","",IFERROR(INDEX(Lists!$B$2:$B$10,MATCH($I206,Lists!$A$2:$A$10,0)),""))</f>
        <v/>
      </c>
      <c r="N206" s="0" t="str">
        <f aca="false">IF($A206="","",$L206-$K206+1)</f>
        <v/>
      </c>
      <c r="O206" s="39" t="str">
        <f aca="true">IF($A206="","",IF(OR($I206="Completed",$I206="Cancelled"),0,$L206-TODAY()))</f>
        <v/>
      </c>
      <c r="Q206" s="3"/>
      <c r="S206" s="0" t="str">
        <f aca="false">IF($A206="","",IF(AND($O206&lt;0,$I206&lt;&gt;"Completed",$I206&lt;&gt;"Cancelled"),1,0))</f>
        <v/>
      </c>
      <c r="T206" s="0" t="str">
        <f aca="false">IF($A206="","",IF($I206="Completed",ROW(),""))</f>
        <v/>
      </c>
      <c r="U206" s="0" t="str">
        <f aca="false">IF($A206="","",IF(OR($I206="Not Started",$I206="Planning",$I206="Blocked"),ROW(),""))</f>
        <v/>
      </c>
    </row>
    <row r="207" customFormat="false" ht="15" hidden="false" customHeight="false" outlineLevel="0" collapsed="false">
      <c r="B207" s="3"/>
      <c r="F207" s="3"/>
      <c r="G207" s="3"/>
      <c r="H207" s="3"/>
      <c r="I207" s="3"/>
      <c r="J207" s="37" t="str">
        <f aca="false">IF($A207="","",IFERROR(INDEX(Lists!$B$2:$B$10,MATCH($I207,Lists!$A$2:$A$10,0)),""))</f>
        <v/>
      </c>
      <c r="N207" s="0" t="str">
        <f aca="false">IF($A207="","",$L207-$K207+1)</f>
        <v/>
      </c>
      <c r="O207" s="39" t="str">
        <f aca="true">IF($A207="","",IF(OR($I207="Completed",$I207="Cancelled"),0,$L207-TODAY()))</f>
        <v/>
      </c>
      <c r="Q207" s="3"/>
      <c r="S207" s="0" t="str">
        <f aca="false">IF($A207="","",IF(AND($O207&lt;0,$I207&lt;&gt;"Completed",$I207&lt;&gt;"Cancelled"),1,0))</f>
        <v/>
      </c>
      <c r="T207" s="0" t="str">
        <f aca="false">IF($A207="","",IF($I207="Completed",ROW(),""))</f>
        <v/>
      </c>
      <c r="U207" s="0" t="str">
        <f aca="false">IF($A207="","",IF(OR($I207="Not Started",$I207="Planning",$I207="Blocked"),ROW(),""))</f>
        <v/>
      </c>
    </row>
    <row r="208" customFormat="false" ht="15" hidden="false" customHeight="false" outlineLevel="0" collapsed="false">
      <c r="B208" s="3"/>
      <c r="F208" s="3"/>
      <c r="G208" s="3"/>
      <c r="H208" s="3"/>
      <c r="I208" s="3"/>
      <c r="J208" s="37" t="str">
        <f aca="false">IF($A208="","",IFERROR(INDEX(Lists!$B$2:$B$10,MATCH($I208,Lists!$A$2:$A$10,0)),""))</f>
        <v/>
      </c>
      <c r="N208" s="0" t="str">
        <f aca="false">IF($A208="","",$L208-$K208+1)</f>
        <v/>
      </c>
      <c r="O208" s="39" t="str">
        <f aca="true">IF($A208="","",IF(OR($I208="Completed",$I208="Cancelled"),0,$L208-TODAY()))</f>
        <v/>
      </c>
      <c r="Q208" s="3"/>
      <c r="S208" s="0" t="str">
        <f aca="false">IF($A208="","",IF(AND($O208&lt;0,$I208&lt;&gt;"Completed",$I208&lt;&gt;"Cancelled"),1,0))</f>
        <v/>
      </c>
      <c r="T208" s="0" t="str">
        <f aca="false">IF($A208="","",IF($I208="Completed",ROW(),""))</f>
        <v/>
      </c>
      <c r="U208" s="0" t="str">
        <f aca="false">IF($A208="","",IF(OR($I208="Not Started",$I208="Planning",$I208="Blocked"),ROW(),""))</f>
        <v/>
      </c>
    </row>
    <row r="209" customFormat="false" ht="15" hidden="false" customHeight="false" outlineLevel="0" collapsed="false">
      <c r="B209" s="3"/>
      <c r="F209" s="3"/>
      <c r="G209" s="3"/>
      <c r="H209" s="3"/>
      <c r="I209" s="3"/>
      <c r="J209" s="37" t="str">
        <f aca="false">IF($A209="","",IFERROR(INDEX(Lists!$B$2:$B$10,MATCH($I209,Lists!$A$2:$A$10,0)),""))</f>
        <v/>
      </c>
      <c r="N209" s="0" t="str">
        <f aca="false">IF($A209="","",$L209-$K209+1)</f>
        <v/>
      </c>
      <c r="O209" s="39" t="str">
        <f aca="true">IF($A209="","",IF(OR($I209="Completed",$I209="Cancelled"),0,$L209-TODAY()))</f>
        <v/>
      </c>
      <c r="Q209" s="3"/>
      <c r="S209" s="0" t="str">
        <f aca="false">IF($A209="","",IF(AND($O209&lt;0,$I209&lt;&gt;"Completed",$I209&lt;&gt;"Cancelled"),1,0))</f>
        <v/>
      </c>
      <c r="T209" s="0" t="str">
        <f aca="false">IF($A209="","",IF($I209="Completed",ROW(),""))</f>
        <v/>
      </c>
      <c r="U209" s="0" t="str">
        <f aca="false">IF($A209="","",IF(OR($I209="Not Started",$I209="Planning",$I209="Blocked"),ROW(),""))</f>
        <v/>
      </c>
    </row>
    <row r="210" customFormat="false" ht="15" hidden="false" customHeight="false" outlineLevel="0" collapsed="false">
      <c r="B210" s="3"/>
      <c r="F210" s="3"/>
      <c r="G210" s="3"/>
      <c r="H210" s="3"/>
      <c r="I210" s="3"/>
      <c r="J210" s="37" t="str">
        <f aca="false">IF($A210="","",IFERROR(INDEX(Lists!$B$2:$B$10,MATCH($I210,Lists!$A$2:$A$10,0)),""))</f>
        <v/>
      </c>
      <c r="N210" s="0" t="str">
        <f aca="false">IF($A210="","",$L210-$K210+1)</f>
        <v/>
      </c>
      <c r="O210" s="39" t="str">
        <f aca="true">IF($A210="","",IF(OR($I210="Completed",$I210="Cancelled"),0,$L210-TODAY()))</f>
        <v/>
      </c>
      <c r="Q210" s="3"/>
      <c r="S210" s="0" t="str">
        <f aca="false">IF($A210="","",IF(AND($O210&lt;0,$I210&lt;&gt;"Completed",$I210&lt;&gt;"Cancelled"),1,0))</f>
        <v/>
      </c>
      <c r="T210" s="0" t="str">
        <f aca="false">IF($A210="","",IF($I210="Completed",ROW(),""))</f>
        <v/>
      </c>
      <c r="U210" s="0" t="str">
        <f aca="false">IF($A210="","",IF(OR($I210="Not Started",$I210="Planning",$I210="Blocked"),ROW(),""))</f>
        <v/>
      </c>
    </row>
    <row r="211" customFormat="false" ht="15" hidden="false" customHeight="false" outlineLevel="0" collapsed="false">
      <c r="B211" s="3"/>
      <c r="F211" s="3"/>
      <c r="G211" s="3"/>
      <c r="H211" s="3"/>
      <c r="I211" s="3"/>
      <c r="J211" s="37" t="str">
        <f aca="false">IF($A211="","",IFERROR(INDEX(Lists!$B$2:$B$10,MATCH($I211,Lists!$A$2:$A$10,0)),""))</f>
        <v/>
      </c>
      <c r="N211" s="0" t="str">
        <f aca="false">IF($A211="","",$L211-$K211+1)</f>
        <v/>
      </c>
      <c r="O211" s="39" t="str">
        <f aca="true">IF($A211="","",IF(OR($I211="Completed",$I211="Cancelled"),0,$L211-TODAY()))</f>
        <v/>
      </c>
      <c r="Q211" s="3"/>
      <c r="S211" s="0" t="str">
        <f aca="false">IF($A211="","",IF(AND($O211&lt;0,$I211&lt;&gt;"Completed",$I211&lt;&gt;"Cancelled"),1,0))</f>
        <v/>
      </c>
      <c r="T211" s="0" t="str">
        <f aca="false">IF($A211="","",IF($I211="Completed",ROW(),""))</f>
        <v/>
      </c>
      <c r="U211" s="0" t="str">
        <f aca="false">IF($A211="","",IF(OR($I211="Not Started",$I211="Planning",$I211="Blocked"),ROW(),""))</f>
        <v/>
      </c>
    </row>
    <row r="212" customFormat="false" ht="15" hidden="false" customHeight="false" outlineLevel="0" collapsed="false">
      <c r="B212" s="3"/>
      <c r="F212" s="3"/>
      <c r="G212" s="3"/>
      <c r="H212" s="3"/>
      <c r="I212" s="3"/>
      <c r="J212" s="37" t="str">
        <f aca="false">IF($A212="","",IFERROR(INDEX(Lists!$B$2:$B$10,MATCH($I212,Lists!$A$2:$A$10,0)),""))</f>
        <v/>
      </c>
      <c r="N212" s="0" t="str">
        <f aca="false">IF($A212="","",$L212-$K212+1)</f>
        <v/>
      </c>
      <c r="O212" s="39" t="str">
        <f aca="true">IF($A212="","",IF(OR($I212="Completed",$I212="Cancelled"),0,$L212-TODAY()))</f>
        <v/>
      </c>
      <c r="Q212" s="3"/>
      <c r="S212" s="0" t="str">
        <f aca="false">IF($A212="","",IF(AND($O212&lt;0,$I212&lt;&gt;"Completed",$I212&lt;&gt;"Cancelled"),1,0))</f>
        <v/>
      </c>
      <c r="T212" s="0" t="str">
        <f aca="false">IF($A212="","",IF($I212="Completed",ROW(),""))</f>
        <v/>
      </c>
      <c r="U212" s="0" t="str">
        <f aca="false">IF($A212="","",IF(OR($I212="Not Started",$I212="Planning",$I212="Blocked"),ROW(),""))</f>
        <v/>
      </c>
    </row>
    <row r="213" customFormat="false" ht="15" hidden="false" customHeight="false" outlineLevel="0" collapsed="false">
      <c r="B213" s="3"/>
      <c r="F213" s="3"/>
      <c r="G213" s="3"/>
      <c r="H213" s="3"/>
      <c r="I213" s="3"/>
      <c r="J213" s="37" t="str">
        <f aca="false">IF($A213="","",IFERROR(INDEX(Lists!$B$2:$B$10,MATCH($I213,Lists!$A$2:$A$10,0)),""))</f>
        <v/>
      </c>
      <c r="N213" s="0" t="str">
        <f aca="false">IF($A213="","",$L213-$K213+1)</f>
        <v/>
      </c>
      <c r="O213" s="39" t="str">
        <f aca="true">IF($A213="","",IF(OR($I213="Completed",$I213="Cancelled"),0,$L213-TODAY()))</f>
        <v/>
      </c>
      <c r="Q213" s="3"/>
      <c r="S213" s="0" t="str">
        <f aca="false">IF($A213="","",IF(AND($O213&lt;0,$I213&lt;&gt;"Completed",$I213&lt;&gt;"Cancelled"),1,0))</f>
        <v/>
      </c>
      <c r="T213" s="0" t="str">
        <f aca="false">IF($A213="","",IF($I213="Completed",ROW(),""))</f>
        <v/>
      </c>
      <c r="U213" s="0" t="str">
        <f aca="false">IF($A213="","",IF(OR($I213="Not Started",$I213="Planning",$I213="Blocked"),ROW(),""))</f>
        <v/>
      </c>
    </row>
    <row r="214" customFormat="false" ht="15" hidden="false" customHeight="false" outlineLevel="0" collapsed="false">
      <c r="B214" s="3"/>
      <c r="F214" s="3"/>
      <c r="G214" s="3"/>
      <c r="H214" s="3"/>
      <c r="I214" s="3"/>
      <c r="J214" s="37" t="str">
        <f aca="false">IF($A214="","",IFERROR(INDEX(Lists!$B$2:$B$10,MATCH($I214,Lists!$A$2:$A$10,0)),""))</f>
        <v/>
      </c>
      <c r="N214" s="0" t="str">
        <f aca="false">IF($A214="","",$L214-$K214+1)</f>
        <v/>
      </c>
      <c r="O214" s="39" t="str">
        <f aca="true">IF($A214="","",IF(OR($I214="Completed",$I214="Cancelled"),0,$L214-TODAY()))</f>
        <v/>
      </c>
      <c r="Q214" s="3"/>
      <c r="S214" s="0" t="str">
        <f aca="false">IF($A214="","",IF(AND($O214&lt;0,$I214&lt;&gt;"Completed",$I214&lt;&gt;"Cancelled"),1,0))</f>
        <v/>
      </c>
      <c r="T214" s="0" t="str">
        <f aca="false">IF($A214="","",IF($I214="Completed",ROW(),""))</f>
        <v/>
      </c>
      <c r="U214" s="0" t="str">
        <f aca="false">IF($A214="","",IF(OR($I214="Not Started",$I214="Planning",$I214="Blocked"),ROW(),""))</f>
        <v/>
      </c>
    </row>
    <row r="215" customFormat="false" ht="15" hidden="false" customHeight="false" outlineLevel="0" collapsed="false">
      <c r="B215" s="3"/>
      <c r="F215" s="3"/>
      <c r="G215" s="3"/>
      <c r="H215" s="3"/>
      <c r="I215" s="3"/>
      <c r="J215" s="37" t="str">
        <f aca="false">IF($A215="","",IFERROR(INDEX(Lists!$B$2:$B$10,MATCH($I215,Lists!$A$2:$A$10,0)),""))</f>
        <v/>
      </c>
      <c r="N215" s="0" t="str">
        <f aca="false">IF($A215="","",$L215-$K215+1)</f>
        <v/>
      </c>
      <c r="O215" s="39" t="str">
        <f aca="true">IF($A215="","",IF(OR($I215="Completed",$I215="Cancelled"),0,$L215-TODAY()))</f>
        <v/>
      </c>
      <c r="Q215" s="3"/>
      <c r="S215" s="0" t="str">
        <f aca="false">IF($A215="","",IF(AND($O215&lt;0,$I215&lt;&gt;"Completed",$I215&lt;&gt;"Cancelled"),1,0))</f>
        <v/>
      </c>
      <c r="T215" s="0" t="str">
        <f aca="false">IF($A215="","",IF($I215="Completed",ROW(),""))</f>
        <v/>
      </c>
      <c r="U215" s="0" t="str">
        <f aca="false">IF($A215="","",IF(OR($I215="Not Started",$I215="Planning",$I215="Blocked"),ROW(),""))</f>
        <v/>
      </c>
    </row>
    <row r="216" customFormat="false" ht="15" hidden="false" customHeight="false" outlineLevel="0" collapsed="false">
      <c r="B216" s="3"/>
      <c r="F216" s="3"/>
      <c r="G216" s="3"/>
      <c r="H216" s="3"/>
      <c r="I216" s="3"/>
      <c r="J216" s="37" t="str">
        <f aca="false">IF($A216="","",IFERROR(INDEX(Lists!$B$2:$B$10,MATCH($I216,Lists!$A$2:$A$10,0)),""))</f>
        <v/>
      </c>
      <c r="N216" s="0" t="str">
        <f aca="false">IF($A216="","",$L216-$K216+1)</f>
        <v/>
      </c>
      <c r="O216" s="39" t="str">
        <f aca="true">IF($A216="","",IF(OR($I216="Completed",$I216="Cancelled"),0,$L216-TODAY()))</f>
        <v/>
      </c>
      <c r="Q216" s="3"/>
      <c r="S216" s="0" t="str">
        <f aca="false">IF($A216="","",IF(AND($O216&lt;0,$I216&lt;&gt;"Completed",$I216&lt;&gt;"Cancelled"),1,0))</f>
        <v/>
      </c>
      <c r="T216" s="0" t="str">
        <f aca="false">IF($A216="","",IF($I216="Completed",ROW(),""))</f>
        <v/>
      </c>
      <c r="U216" s="0" t="str">
        <f aca="false">IF($A216="","",IF(OR($I216="Not Started",$I216="Planning",$I216="Blocked"),ROW(),""))</f>
        <v/>
      </c>
    </row>
    <row r="217" customFormat="false" ht="15" hidden="false" customHeight="false" outlineLevel="0" collapsed="false">
      <c r="B217" s="3"/>
      <c r="F217" s="3"/>
      <c r="G217" s="3"/>
      <c r="H217" s="3"/>
      <c r="I217" s="3"/>
      <c r="J217" s="37" t="str">
        <f aca="false">IF($A217="","",IFERROR(INDEX(Lists!$B$2:$B$10,MATCH($I217,Lists!$A$2:$A$10,0)),""))</f>
        <v/>
      </c>
      <c r="N217" s="0" t="str">
        <f aca="false">IF($A217="","",$L217-$K217+1)</f>
        <v/>
      </c>
      <c r="O217" s="39" t="str">
        <f aca="true">IF($A217="","",IF(OR($I217="Completed",$I217="Cancelled"),0,$L217-TODAY()))</f>
        <v/>
      </c>
      <c r="Q217" s="3"/>
      <c r="S217" s="0" t="str">
        <f aca="false">IF($A217="","",IF(AND($O217&lt;0,$I217&lt;&gt;"Completed",$I217&lt;&gt;"Cancelled"),1,0))</f>
        <v/>
      </c>
      <c r="T217" s="0" t="str">
        <f aca="false">IF($A217="","",IF($I217="Completed",ROW(),""))</f>
        <v/>
      </c>
      <c r="U217" s="0" t="str">
        <f aca="false">IF($A217="","",IF(OR($I217="Not Started",$I217="Planning",$I217="Blocked"),ROW(),""))</f>
        <v/>
      </c>
    </row>
    <row r="218" customFormat="false" ht="15" hidden="false" customHeight="false" outlineLevel="0" collapsed="false">
      <c r="B218" s="3"/>
      <c r="F218" s="3"/>
      <c r="G218" s="3"/>
      <c r="H218" s="3"/>
      <c r="I218" s="3"/>
      <c r="J218" s="37" t="str">
        <f aca="false">IF($A218="","",IFERROR(INDEX(Lists!$B$2:$B$10,MATCH($I218,Lists!$A$2:$A$10,0)),""))</f>
        <v/>
      </c>
      <c r="N218" s="0" t="str">
        <f aca="false">IF($A218="","",$L218-$K218+1)</f>
        <v/>
      </c>
      <c r="O218" s="39" t="str">
        <f aca="true">IF($A218="","",IF(OR($I218="Completed",$I218="Cancelled"),0,$L218-TODAY()))</f>
        <v/>
      </c>
      <c r="Q218" s="3"/>
      <c r="S218" s="0" t="str">
        <f aca="false">IF($A218="","",IF(AND($O218&lt;0,$I218&lt;&gt;"Completed",$I218&lt;&gt;"Cancelled"),1,0))</f>
        <v/>
      </c>
      <c r="T218" s="0" t="str">
        <f aca="false">IF($A218="","",IF($I218="Completed",ROW(),""))</f>
        <v/>
      </c>
      <c r="U218" s="0" t="str">
        <f aca="false">IF($A218="","",IF(OR($I218="Not Started",$I218="Planning",$I218="Blocked"),ROW(),""))</f>
        <v/>
      </c>
    </row>
    <row r="219" customFormat="false" ht="15" hidden="false" customHeight="false" outlineLevel="0" collapsed="false">
      <c r="B219" s="3"/>
      <c r="F219" s="3"/>
      <c r="G219" s="3"/>
      <c r="H219" s="3"/>
      <c r="I219" s="3"/>
      <c r="J219" s="37" t="str">
        <f aca="false">IF($A219="","",IFERROR(INDEX(Lists!$B$2:$B$10,MATCH($I219,Lists!$A$2:$A$10,0)),""))</f>
        <v/>
      </c>
      <c r="N219" s="0" t="str">
        <f aca="false">IF($A219="","",$L219-$K219+1)</f>
        <v/>
      </c>
      <c r="O219" s="39" t="str">
        <f aca="true">IF($A219="","",IF(OR($I219="Completed",$I219="Cancelled"),0,$L219-TODAY()))</f>
        <v/>
      </c>
      <c r="Q219" s="3"/>
      <c r="S219" s="0" t="str">
        <f aca="false">IF($A219="","",IF(AND($O219&lt;0,$I219&lt;&gt;"Completed",$I219&lt;&gt;"Cancelled"),1,0))</f>
        <v/>
      </c>
      <c r="T219" s="0" t="str">
        <f aca="false">IF($A219="","",IF($I219="Completed",ROW(),""))</f>
        <v/>
      </c>
      <c r="U219" s="0" t="str">
        <f aca="false">IF($A219="","",IF(OR($I219="Not Started",$I219="Planning",$I219="Blocked"),ROW(),""))</f>
        <v/>
      </c>
    </row>
    <row r="220" customFormat="false" ht="15" hidden="false" customHeight="false" outlineLevel="0" collapsed="false">
      <c r="B220" s="3"/>
      <c r="F220" s="3"/>
      <c r="G220" s="3"/>
      <c r="H220" s="3"/>
      <c r="I220" s="3"/>
      <c r="J220" s="37" t="str">
        <f aca="false">IF($A220="","",IFERROR(INDEX(Lists!$B$2:$B$10,MATCH($I220,Lists!$A$2:$A$10,0)),""))</f>
        <v/>
      </c>
      <c r="N220" s="0" t="str">
        <f aca="false">IF($A220="","",$L220-$K220+1)</f>
        <v/>
      </c>
      <c r="O220" s="39" t="str">
        <f aca="true">IF($A220="","",IF(OR($I220="Completed",$I220="Cancelled"),0,$L220-TODAY()))</f>
        <v/>
      </c>
      <c r="Q220" s="3"/>
      <c r="S220" s="0" t="str">
        <f aca="false">IF($A220="","",IF(AND($O220&lt;0,$I220&lt;&gt;"Completed",$I220&lt;&gt;"Cancelled"),1,0))</f>
        <v/>
      </c>
      <c r="T220" s="0" t="str">
        <f aca="false">IF($A220="","",IF($I220="Completed",ROW(),""))</f>
        <v/>
      </c>
      <c r="U220" s="0" t="str">
        <f aca="false">IF($A220="","",IF(OR($I220="Not Started",$I220="Planning",$I220="Blocked"),ROW(),""))</f>
        <v/>
      </c>
    </row>
    <row r="221" customFormat="false" ht="15" hidden="false" customHeight="false" outlineLevel="0" collapsed="false">
      <c r="B221" s="3"/>
      <c r="F221" s="3"/>
      <c r="G221" s="3"/>
      <c r="H221" s="3"/>
      <c r="I221" s="3"/>
      <c r="J221" s="37" t="str">
        <f aca="false">IF($A221="","",IFERROR(INDEX(Lists!$B$2:$B$10,MATCH($I221,Lists!$A$2:$A$10,0)),""))</f>
        <v/>
      </c>
      <c r="N221" s="0" t="str">
        <f aca="false">IF($A221="","",$L221-$K221+1)</f>
        <v/>
      </c>
      <c r="O221" s="39" t="str">
        <f aca="true">IF($A221="","",IF(OR($I221="Completed",$I221="Cancelled"),0,$L221-TODAY()))</f>
        <v/>
      </c>
      <c r="Q221" s="3"/>
      <c r="S221" s="0" t="str">
        <f aca="false">IF($A221="","",IF(AND($O221&lt;0,$I221&lt;&gt;"Completed",$I221&lt;&gt;"Cancelled"),1,0))</f>
        <v/>
      </c>
      <c r="T221" s="0" t="str">
        <f aca="false">IF($A221="","",IF($I221="Completed",ROW(),""))</f>
        <v/>
      </c>
      <c r="U221" s="0" t="str">
        <f aca="false">IF($A221="","",IF(OR($I221="Not Started",$I221="Planning",$I221="Blocked"),ROW(),""))</f>
        <v/>
      </c>
    </row>
    <row r="222" customFormat="false" ht="15" hidden="false" customHeight="false" outlineLevel="0" collapsed="false">
      <c r="B222" s="3"/>
      <c r="F222" s="3"/>
      <c r="G222" s="3"/>
      <c r="H222" s="3"/>
      <c r="I222" s="3"/>
      <c r="J222" s="37" t="str">
        <f aca="false">IF($A222="","",IFERROR(INDEX(Lists!$B$2:$B$10,MATCH($I222,Lists!$A$2:$A$10,0)),""))</f>
        <v/>
      </c>
      <c r="N222" s="0" t="str">
        <f aca="false">IF($A222="","",$L222-$K222+1)</f>
        <v/>
      </c>
      <c r="O222" s="39" t="str">
        <f aca="true">IF($A222="","",IF(OR($I222="Completed",$I222="Cancelled"),0,$L222-TODAY()))</f>
        <v/>
      </c>
      <c r="Q222" s="3"/>
      <c r="S222" s="0" t="str">
        <f aca="false">IF($A222="","",IF(AND($O222&lt;0,$I222&lt;&gt;"Completed",$I222&lt;&gt;"Cancelled"),1,0))</f>
        <v/>
      </c>
      <c r="T222" s="0" t="str">
        <f aca="false">IF($A222="","",IF($I222="Completed",ROW(),""))</f>
        <v/>
      </c>
      <c r="U222" s="0" t="str">
        <f aca="false">IF($A222="","",IF(OR($I222="Not Started",$I222="Planning",$I222="Blocked"),ROW(),""))</f>
        <v/>
      </c>
    </row>
    <row r="223" customFormat="false" ht="15" hidden="false" customHeight="false" outlineLevel="0" collapsed="false">
      <c r="B223" s="3"/>
      <c r="F223" s="3"/>
      <c r="G223" s="3"/>
      <c r="H223" s="3"/>
      <c r="I223" s="3"/>
      <c r="J223" s="37" t="str">
        <f aca="false">IF($A223="","",IFERROR(INDEX(Lists!$B$2:$B$10,MATCH($I223,Lists!$A$2:$A$10,0)),""))</f>
        <v/>
      </c>
      <c r="N223" s="0" t="str">
        <f aca="false">IF($A223="","",$L223-$K223+1)</f>
        <v/>
      </c>
      <c r="O223" s="39" t="str">
        <f aca="true">IF($A223="","",IF(OR($I223="Completed",$I223="Cancelled"),0,$L223-TODAY()))</f>
        <v/>
      </c>
      <c r="Q223" s="3"/>
      <c r="S223" s="0" t="str">
        <f aca="false">IF($A223="","",IF(AND($O223&lt;0,$I223&lt;&gt;"Completed",$I223&lt;&gt;"Cancelled"),1,0))</f>
        <v/>
      </c>
      <c r="T223" s="0" t="str">
        <f aca="false">IF($A223="","",IF($I223="Completed",ROW(),""))</f>
        <v/>
      </c>
      <c r="U223" s="0" t="str">
        <f aca="false">IF($A223="","",IF(OR($I223="Not Started",$I223="Planning",$I223="Blocked"),ROW(),""))</f>
        <v/>
      </c>
    </row>
    <row r="224" customFormat="false" ht="15" hidden="false" customHeight="false" outlineLevel="0" collapsed="false">
      <c r="B224" s="3"/>
      <c r="F224" s="3"/>
      <c r="G224" s="3"/>
      <c r="H224" s="3"/>
      <c r="I224" s="3"/>
      <c r="J224" s="37" t="str">
        <f aca="false">IF($A224="","",IFERROR(INDEX(Lists!$B$2:$B$10,MATCH($I224,Lists!$A$2:$A$10,0)),""))</f>
        <v/>
      </c>
      <c r="N224" s="0" t="str">
        <f aca="false">IF($A224="","",$L224-$K224+1)</f>
        <v/>
      </c>
      <c r="O224" s="39" t="str">
        <f aca="true">IF($A224="","",IF(OR($I224="Completed",$I224="Cancelled"),0,$L224-TODAY()))</f>
        <v/>
      </c>
      <c r="Q224" s="3"/>
      <c r="S224" s="0" t="str">
        <f aca="false">IF($A224="","",IF(AND($O224&lt;0,$I224&lt;&gt;"Completed",$I224&lt;&gt;"Cancelled"),1,0))</f>
        <v/>
      </c>
      <c r="T224" s="0" t="str">
        <f aca="false">IF($A224="","",IF($I224="Completed",ROW(),""))</f>
        <v/>
      </c>
      <c r="U224" s="0" t="str">
        <f aca="false">IF($A224="","",IF(OR($I224="Not Started",$I224="Planning",$I224="Blocked"),ROW(),""))</f>
        <v/>
      </c>
    </row>
    <row r="225" customFormat="false" ht="15" hidden="false" customHeight="false" outlineLevel="0" collapsed="false">
      <c r="B225" s="3"/>
      <c r="F225" s="3"/>
      <c r="G225" s="3"/>
      <c r="H225" s="3"/>
      <c r="I225" s="3"/>
      <c r="J225" s="37" t="str">
        <f aca="false">IF($A225="","",IFERROR(INDEX(Lists!$B$2:$B$10,MATCH($I225,Lists!$A$2:$A$10,0)),""))</f>
        <v/>
      </c>
      <c r="N225" s="0" t="str">
        <f aca="false">IF($A225="","",$L225-$K225+1)</f>
        <v/>
      </c>
      <c r="O225" s="39" t="str">
        <f aca="true">IF($A225="","",IF(OR($I225="Completed",$I225="Cancelled"),0,$L225-TODAY()))</f>
        <v/>
      </c>
      <c r="Q225" s="3"/>
      <c r="S225" s="0" t="str">
        <f aca="false">IF($A225="","",IF(AND($O225&lt;0,$I225&lt;&gt;"Completed",$I225&lt;&gt;"Cancelled"),1,0))</f>
        <v/>
      </c>
      <c r="T225" s="0" t="str">
        <f aca="false">IF($A225="","",IF($I225="Completed",ROW(),""))</f>
        <v/>
      </c>
      <c r="U225" s="0" t="str">
        <f aca="false">IF($A225="","",IF(OR($I225="Not Started",$I225="Planning",$I225="Blocked"),ROW(),""))</f>
        <v/>
      </c>
    </row>
    <row r="226" customFormat="false" ht="15" hidden="false" customHeight="false" outlineLevel="0" collapsed="false">
      <c r="B226" s="3"/>
      <c r="F226" s="3"/>
      <c r="G226" s="3"/>
      <c r="H226" s="3"/>
      <c r="I226" s="3"/>
      <c r="J226" s="37" t="str">
        <f aca="false">IF($A226="","",IFERROR(INDEX(Lists!$B$2:$B$10,MATCH($I226,Lists!$A$2:$A$10,0)),""))</f>
        <v/>
      </c>
      <c r="N226" s="0" t="str">
        <f aca="false">IF($A226="","",$L226-$K226+1)</f>
        <v/>
      </c>
      <c r="O226" s="39" t="str">
        <f aca="true">IF($A226="","",IF(OR($I226="Completed",$I226="Cancelled"),0,$L226-TODAY()))</f>
        <v/>
      </c>
      <c r="Q226" s="3"/>
      <c r="S226" s="0" t="str">
        <f aca="false">IF($A226="","",IF(AND($O226&lt;0,$I226&lt;&gt;"Completed",$I226&lt;&gt;"Cancelled"),1,0))</f>
        <v/>
      </c>
      <c r="T226" s="0" t="str">
        <f aca="false">IF($A226="","",IF($I226="Completed",ROW(),""))</f>
        <v/>
      </c>
      <c r="U226" s="0" t="str">
        <f aca="false">IF($A226="","",IF(OR($I226="Not Started",$I226="Planning",$I226="Blocked"),ROW(),""))</f>
        <v/>
      </c>
    </row>
    <row r="227" customFormat="false" ht="15" hidden="false" customHeight="false" outlineLevel="0" collapsed="false">
      <c r="B227" s="3"/>
      <c r="F227" s="3"/>
      <c r="G227" s="3"/>
      <c r="H227" s="3"/>
      <c r="I227" s="3"/>
      <c r="J227" s="37" t="str">
        <f aca="false">IF($A227="","",IFERROR(INDEX(Lists!$B$2:$B$10,MATCH($I227,Lists!$A$2:$A$10,0)),""))</f>
        <v/>
      </c>
      <c r="N227" s="0" t="str">
        <f aca="false">IF($A227="","",$L227-$K227+1)</f>
        <v/>
      </c>
      <c r="O227" s="39" t="str">
        <f aca="true">IF($A227="","",IF(OR($I227="Completed",$I227="Cancelled"),0,$L227-TODAY()))</f>
        <v/>
      </c>
      <c r="Q227" s="3"/>
      <c r="S227" s="0" t="str">
        <f aca="false">IF($A227="","",IF(AND($O227&lt;0,$I227&lt;&gt;"Completed",$I227&lt;&gt;"Cancelled"),1,0))</f>
        <v/>
      </c>
      <c r="T227" s="0" t="str">
        <f aca="false">IF($A227="","",IF($I227="Completed",ROW(),""))</f>
        <v/>
      </c>
      <c r="U227" s="0" t="str">
        <f aca="false">IF($A227="","",IF(OR($I227="Not Started",$I227="Planning",$I227="Blocked"),ROW(),""))</f>
        <v/>
      </c>
    </row>
    <row r="228" customFormat="false" ht="15" hidden="false" customHeight="false" outlineLevel="0" collapsed="false">
      <c r="B228" s="3"/>
      <c r="F228" s="3"/>
      <c r="G228" s="3"/>
      <c r="H228" s="3"/>
      <c r="I228" s="3"/>
      <c r="J228" s="37" t="str">
        <f aca="false">IF($A228="","",IFERROR(INDEX(Lists!$B$2:$B$10,MATCH($I228,Lists!$A$2:$A$10,0)),""))</f>
        <v/>
      </c>
      <c r="N228" s="0" t="str">
        <f aca="false">IF($A228="","",$L228-$K228+1)</f>
        <v/>
      </c>
      <c r="O228" s="39" t="str">
        <f aca="true">IF($A228="","",IF(OR($I228="Completed",$I228="Cancelled"),0,$L228-TODAY()))</f>
        <v/>
      </c>
      <c r="Q228" s="3"/>
      <c r="S228" s="0" t="str">
        <f aca="false">IF($A228="","",IF(AND($O228&lt;0,$I228&lt;&gt;"Completed",$I228&lt;&gt;"Cancelled"),1,0))</f>
        <v/>
      </c>
      <c r="T228" s="0" t="str">
        <f aca="false">IF($A228="","",IF($I228="Completed",ROW(),""))</f>
        <v/>
      </c>
      <c r="U228" s="0" t="str">
        <f aca="false">IF($A228="","",IF(OR($I228="Not Started",$I228="Planning",$I228="Blocked"),ROW(),""))</f>
        <v/>
      </c>
    </row>
    <row r="229" customFormat="false" ht="15" hidden="false" customHeight="false" outlineLevel="0" collapsed="false">
      <c r="B229" s="3"/>
      <c r="F229" s="3"/>
      <c r="G229" s="3"/>
      <c r="H229" s="3"/>
      <c r="I229" s="3"/>
      <c r="J229" s="37" t="str">
        <f aca="false">IF($A229="","",IFERROR(INDEX(Lists!$B$2:$B$10,MATCH($I229,Lists!$A$2:$A$10,0)),""))</f>
        <v/>
      </c>
      <c r="N229" s="0" t="str">
        <f aca="false">IF($A229="","",$L229-$K229+1)</f>
        <v/>
      </c>
      <c r="O229" s="39" t="str">
        <f aca="true">IF($A229="","",IF(OR($I229="Completed",$I229="Cancelled"),0,$L229-TODAY()))</f>
        <v/>
      </c>
      <c r="Q229" s="3"/>
      <c r="S229" s="0" t="str">
        <f aca="false">IF($A229="","",IF(AND($O229&lt;0,$I229&lt;&gt;"Completed",$I229&lt;&gt;"Cancelled"),1,0))</f>
        <v/>
      </c>
      <c r="T229" s="0" t="str">
        <f aca="false">IF($A229="","",IF($I229="Completed",ROW(),""))</f>
        <v/>
      </c>
      <c r="U229" s="0" t="str">
        <f aca="false">IF($A229="","",IF(OR($I229="Not Started",$I229="Planning",$I229="Blocked"),ROW(),""))</f>
        <v/>
      </c>
    </row>
    <row r="230" customFormat="false" ht="15" hidden="false" customHeight="false" outlineLevel="0" collapsed="false">
      <c r="B230" s="3"/>
      <c r="F230" s="3"/>
      <c r="G230" s="3"/>
      <c r="H230" s="3"/>
      <c r="I230" s="3"/>
      <c r="J230" s="37" t="str">
        <f aca="false">IF($A230="","",IFERROR(INDEX(Lists!$B$2:$B$10,MATCH($I230,Lists!$A$2:$A$10,0)),""))</f>
        <v/>
      </c>
      <c r="N230" s="0" t="str">
        <f aca="false">IF($A230="","",$L230-$K230+1)</f>
        <v/>
      </c>
      <c r="O230" s="39" t="str">
        <f aca="true">IF($A230="","",IF(OR($I230="Completed",$I230="Cancelled"),0,$L230-TODAY()))</f>
        <v/>
      </c>
      <c r="Q230" s="3"/>
      <c r="S230" s="0" t="str">
        <f aca="false">IF($A230="","",IF(AND($O230&lt;0,$I230&lt;&gt;"Completed",$I230&lt;&gt;"Cancelled"),1,0))</f>
        <v/>
      </c>
      <c r="T230" s="0" t="str">
        <f aca="false">IF($A230="","",IF($I230="Completed",ROW(),""))</f>
        <v/>
      </c>
      <c r="U230" s="0" t="str">
        <f aca="false">IF($A230="","",IF(OR($I230="Not Started",$I230="Planning",$I230="Blocked"),ROW(),""))</f>
        <v/>
      </c>
    </row>
    <row r="231" customFormat="false" ht="15" hidden="false" customHeight="false" outlineLevel="0" collapsed="false">
      <c r="B231" s="3"/>
      <c r="F231" s="3"/>
      <c r="G231" s="3"/>
      <c r="H231" s="3"/>
      <c r="I231" s="3"/>
      <c r="J231" s="37" t="str">
        <f aca="false">IF($A231="","",IFERROR(INDEX(Lists!$B$2:$B$10,MATCH($I231,Lists!$A$2:$A$10,0)),""))</f>
        <v/>
      </c>
      <c r="N231" s="0" t="str">
        <f aca="false">IF($A231="","",$L231-$K231+1)</f>
        <v/>
      </c>
      <c r="O231" s="39" t="str">
        <f aca="true">IF($A231="","",IF(OR($I231="Completed",$I231="Cancelled"),0,$L231-TODAY()))</f>
        <v/>
      </c>
      <c r="Q231" s="3"/>
      <c r="S231" s="0" t="str">
        <f aca="false">IF($A231="","",IF(AND($O231&lt;0,$I231&lt;&gt;"Completed",$I231&lt;&gt;"Cancelled"),1,0))</f>
        <v/>
      </c>
      <c r="T231" s="0" t="str">
        <f aca="false">IF($A231="","",IF($I231="Completed",ROW(),""))</f>
        <v/>
      </c>
      <c r="U231" s="0" t="str">
        <f aca="false">IF($A231="","",IF(OR($I231="Not Started",$I231="Planning",$I231="Blocked"),ROW(),""))</f>
        <v/>
      </c>
    </row>
    <row r="232" customFormat="false" ht="15" hidden="false" customHeight="false" outlineLevel="0" collapsed="false">
      <c r="B232" s="3"/>
      <c r="F232" s="3"/>
      <c r="G232" s="3"/>
      <c r="H232" s="3"/>
      <c r="I232" s="3"/>
      <c r="J232" s="37" t="str">
        <f aca="false">IF($A232="","",IFERROR(INDEX(Lists!$B$2:$B$10,MATCH($I232,Lists!$A$2:$A$10,0)),""))</f>
        <v/>
      </c>
      <c r="N232" s="0" t="str">
        <f aca="false">IF($A232="","",$L232-$K232+1)</f>
        <v/>
      </c>
      <c r="O232" s="39" t="str">
        <f aca="true">IF($A232="","",IF(OR($I232="Completed",$I232="Cancelled"),0,$L232-TODAY()))</f>
        <v/>
      </c>
      <c r="Q232" s="3"/>
      <c r="S232" s="0" t="str">
        <f aca="false">IF($A232="","",IF(AND($O232&lt;0,$I232&lt;&gt;"Completed",$I232&lt;&gt;"Cancelled"),1,0))</f>
        <v/>
      </c>
      <c r="T232" s="0" t="str">
        <f aca="false">IF($A232="","",IF($I232="Completed",ROW(),""))</f>
        <v/>
      </c>
      <c r="U232" s="0" t="str">
        <f aca="false">IF($A232="","",IF(OR($I232="Not Started",$I232="Planning",$I232="Blocked"),ROW(),""))</f>
        <v/>
      </c>
    </row>
    <row r="233" customFormat="false" ht="15" hidden="false" customHeight="false" outlineLevel="0" collapsed="false">
      <c r="B233" s="3"/>
      <c r="F233" s="3"/>
      <c r="G233" s="3"/>
      <c r="H233" s="3"/>
      <c r="I233" s="3"/>
      <c r="J233" s="37" t="str">
        <f aca="false">IF($A233="","",IFERROR(INDEX(Lists!$B$2:$B$10,MATCH($I233,Lists!$A$2:$A$10,0)),""))</f>
        <v/>
      </c>
      <c r="N233" s="0" t="str">
        <f aca="false">IF($A233="","",$L233-$K233+1)</f>
        <v/>
      </c>
      <c r="O233" s="39" t="str">
        <f aca="true">IF($A233="","",IF(OR($I233="Completed",$I233="Cancelled"),0,$L233-TODAY()))</f>
        <v/>
      </c>
      <c r="Q233" s="3"/>
      <c r="S233" s="0" t="str">
        <f aca="false">IF($A233="","",IF(AND($O233&lt;0,$I233&lt;&gt;"Completed",$I233&lt;&gt;"Cancelled"),1,0))</f>
        <v/>
      </c>
      <c r="T233" s="0" t="str">
        <f aca="false">IF($A233="","",IF($I233="Completed",ROW(),""))</f>
        <v/>
      </c>
      <c r="U233" s="0" t="str">
        <f aca="false">IF($A233="","",IF(OR($I233="Not Started",$I233="Planning",$I233="Blocked"),ROW(),""))</f>
        <v/>
      </c>
    </row>
    <row r="234" customFormat="false" ht="15" hidden="false" customHeight="false" outlineLevel="0" collapsed="false">
      <c r="B234" s="3"/>
      <c r="F234" s="3"/>
      <c r="G234" s="3"/>
      <c r="H234" s="3"/>
      <c r="I234" s="3"/>
      <c r="J234" s="37" t="str">
        <f aca="false">IF($A234="","",IFERROR(INDEX(Lists!$B$2:$B$10,MATCH($I234,Lists!$A$2:$A$10,0)),""))</f>
        <v/>
      </c>
      <c r="N234" s="0" t="str">
        <f aca="false">IF($A234="","",$L234-$K234+1)</f>
        <v/>
      </c>
      <c r="O234" s="39" t="str">
        <f aca="true">IF($A234="","",IF(OR($I234="Completed",$I234="Cancelled"),0,$L234-TODAY()))</f>
        <v/>
      </c>
      <c r="Q234" s="3"/>
      <c r="S234" s="0" t="str">
        <f aca="false">IF($A234="","",IF(AND($O234&lt;0,$I234&lt;&gt;"Completed",$I234&lt;&gt;"Cancelled"),1,0))</f>
        <v/>
      </c>
      <c r="T234" s="0" t="str">
        <f aca="false">IF($A234="","",IF($I234="Completed",ROW(),""))</f>
        <v/>
      </c>
      <c r="U234" s="0" t="str">
        <f aca="false">IF($A234="","",IF(OR($I234="Not Started",$I234="Planning",$I234="Blocked"),ROW(),""))</f>
        <v/>
      </c>
    </row>
    <row r="235" customFormat="false" ht="15" hidden="false" customHeight="false" outlineLevel="0" collapsed="false">
      <c r="B235" s="3"/>
      <c r="F235" s="3"/>
      <c r="G235" s="3"/>
      <c r="H235" s="3"/>
      <c r="I235" s="3"/>
      <c r="J235" s="37" t="str">
        <f aca="false">IF($A235="","",IFERROR(INDEX(Lists!$B$2:$B$10,MATCH($I235,Lists!$A$2:$A$10,0)),""))</f>
        <v/>
      </c>
      <c r="N235" s="0" t="str">
        <f aca="false">IF($A235="","",$L235-$K235+1)</f>
        <v/>
      </c>
      <c r="O235" s="39" t="str">
        <f aca="true">IF($A235="","",IF(OR($I235="Completed",$I235="Cancelled"),0,$L235-TODAY()))</f>
        <v/>
      </c>
      <c r="Q235" s="3"/>
      <c r="S235" s="0" t="str">
        <f aca="false">IF($A235="","",IF(AND($O235&lt;0,$I235&lt;&gt;"Completed",$I235&lt;&gt;"Cancelled"),1,0))</f>
        <v/>
      </c>
      <c r="T235" s="0" t="str">
        <f aca="false">IF($A235="","",IF($I235="Completed",ROW(),""))</f>
        <v/>
      </c>
      <c r="U235" s="0" t="str">
        <f aca="false">IF($A235="","",IF(OR($I235="Not Started",$I235="Planning",$I235="Blocked"),ROW(),""))</f>
        <v/>
      </c>
    </row>
    <row r="236" customFormat="false" ht="15" hidden="false" customHeight="false" outlineLevel="0" collapsed="false">
      <c r="B236" s="3"/>
      <c r="F236" s="3"/>
      <c r="G236" s="3"/>
      <c r="H236" s="3"/>
      <c r="I236" s="3"/>
      <c r="J236" s="37" t="str">
        <f aca="false">IF($A236="","",IFERROR(INDEX(Lists!$B$2:$B$10,MATCH($I236,Lists!$A$2:$A$10,0)),""))</f>
        <v/>
      </c>
      <c r="N236" s="0" t="str">
        <f aca="false">IF($A236="","",$L236-$K236+1)</f>
        <v/>
      </c>
      <c r="O236" s="39" t="str">
        <f aca="true">IF($A236="","",IF(OR($I236="Completed",$I236="Cancelled"),0,$L236-TODAY()))</f>
        <v/>
      </c>
      <c r="Q236" s="3"/>
      <c r="S236" s="0" t="str">
        <f aca="false">IF($A236="","",IF(AND($O236&lt;0,$I236&lt;&gt;"Completed",$I236&lt;&gt;"Cancelled"),1,0))</f>
        <v/>
      </c>
      <c r="T236" s="0" t="str">
        <f aca="false">IF($A236="","",IF($I236="Completed",ROW(),""))</f>
        <v/>
      </c>
      <c r="U236" s="0" t="str">
        <f aca="false">IF($A236="","",IF(OR($I236="Not Started",$I236="Planning",$I236="Blocked"),ROW(),""))</f>
        <v/>
      </c>
    </row>
    <row r="237" customFormat="false" ht="15" hidden="false" customHeight="false" outlineLevel="0" collapsed="false">
      <c r="B237" s="3"/>
      <c r="F237" s="3"/>
      <c r="G237" s="3"/>
      <c r="H237" s="3"/>
      <c r="I237" s="3"/>
      <c r="J237" s="37" t="str">
        <f aca="false">IF($A237="","",IFERROR(INDEX(Lists!$B$2:$B$10,MATCH($I237,Lists!$A$2:$A$10,0)),""))</f>
        <v/>
      </c>
      <c r="N237" s="0" t="str">
        <f aca="false">IF($A237="","",$L237-$K237+1)</f>
        <v/>
      </c>
      <c r="O237" s="39" t="str">
        <f aca="true">IF($A237="","",IF(OR($I237="Completed",$I237="Cancelled"),0,$L237-TODAY()))</f>
        <v/>
      </c>
      <c r="Q237" s="3"/>
      <c r="S237" s="0" t="str">
        <f aca="false">IF($A237="","",IF(AND($O237&lt;0,$I237&lt;&gt;"Completed",$I237&lt;&gt;"Cancelled"),1,0))</f>
        <v/>
      </c>
      <c r="T237" s="0" t="str">
        <f aca="false">IF($A237="","",IF($I237="Completed",ROW(),""))</f>
        <v/>
      </c>
      <c r="U237" s="0" t="str">
        <f aca="false">IF($A237="","",IF(OR($I237="Not Started",$I237="Planning",$I237="Blocked"),ROW(),""))</f>
        <v/>
      </c>
    </row>
    <row r="238" customFormat="false" ht="15" hidden="false" customHeight="false" outlineLevel="0" collapsed="false">
      <c r="B238" s="3"/>
      <c r="F238" s="3"/>
      <c r="G238" s="3"/>
      <c r="H238" s="3"/>
      <c r="I238" s="3"/>
      <c r="J238" s="37" t="str">
        <f aca="false">IF($A238="","",IFERROR(INDEX(Lists!$B$2:$B$10,MATCH($I238,Lists!$A$2:$A$10,0)),""))</f>
        <v/>
      </c>
      <c r="N238" s="0" t="str">
        <f aca="false">IF($A238="","",$L238-$K238+1)</f>
        <v/>
      </c>
      <c r="O238" s="39" t="str">
        <f aca="true">IF($A238="","",IF(OR($I238="Completed",$I238="Cancelled"),0,$L238-TODAY()))</f>
        <v/>
      </c>
      <c r="Q238" s="3"/>
      <c r="S238" s="0" t="str">
        <f aca="false">IF($A238="","",IF(AND($O238&lt;0,$I238&lt;&gt;"Completed",$I238&lt;&gt;"Cancelled"),1,0))</f>
        <v/>
      </c>
      <c r="T238" s="0" t="str">
        <f aca="false">IF($A238="","",IF($I238="Completed",ROW(),""))</f>
        <v/>
      </c>
      <c r="U238" s="0" t="str">
        <f aca="false">IF($A238="","",IF(OR($I238="Not Started",$I238="Planning",$I238="Blocked"),ROW(),""))</f>
        <v/>
      </c>
    </row>
    <row r="239" customFormat="false" ht="15" hidden="false" customHeight="false" outlineLevel="0" collapsed="false">
      <c r="B239" s="3"/>
      <c r="F239" s="3"/>
      <c r="G239" s="3"/>
      <c r="H239" s="3"/>
      <c r="I239" s="3"/>
      <c r="J239" s="37" t="str">
        <f aca="false">IF($A239="","",IFERROR(INDEX(Lists!$B$2:$B$10,MATCH($I239,Lists!$A$2:$A$10,0)),""))</f>
        <v/>
      </c>
      <c r="N239" s="0" t="str">
        <f aca="false">IF($A239="","",$L239-$K239+1)</f>
        <v/>
      </c>
      <c r="O239" s="39" t="str">
        <f aca="true">IF($A239="","",IF(OR($I239="Completed",$I239="Cancelled"),0,$L239-TODAY()))</f>
        <v/>
      </c>
      <c r="Q239" s="3"/>
      <c r="S239" s="0" t="str">
        <f aca="false">IF($A239="","",IF(AND($O239&lt;0,$I239&lt;&gt;"Completed",$I239&lt;&gt;"Cancelled"),1,0))</f>
        <v/>
      </c>
      <c r="T239" s="0" t="str">
        <f aca="false">IF($A239="","",IF($I239="Completed",ROW(),""))</f>
        <v/>
      </c>
      <c r="U239" s="0" t="str">
        <f aca="false">IF($A239="","",IF(OR($I239="Not Started",$I239="Planning",$I239="Blocked"),ROW(),""))</f>
        <v/>
      </c>
    </row>
    <row r="240" customFormat="false" ht="15" hidden="false" customHeight="false" outlineLevel="0" collapsed="false">
      <c r="B240" s="3"/>
      <c r="F240" s="3"/>
      <c r="G240" s="3"/>
      <c r="H240" s="3"/>
      <c r="I240" s="3"/>
      <c r="J240" s="37" t="str">
        <f aca="false">IF($A240="","",IFERROR(INDEX(Lists!$B$2:$B$10,MATCH($I240,Lists!$A$2:$A$10,0)),""))</f>
        <v/>
      </c>
      <c r="N240" s="0" t="str">
        <f aca="false">IF($A240="","",$L240-$K240+1)</f>
        <v/>
      </c>
      <c r="O240" s="39" t="str">
        <f aca="true">IF($A240="","",IF(OR($I240="Completed",$I240="Cancelled"),0,$L240-TODAY()))</f>
        <v/>
      </c>
      <c r="Q240" s="3"/>
      <c r="S240" s="0" t="str">
        <f aca="false">IF($A240="","",IF(AND($O240&lt;0,$I240&lt;&gt;"Completed",$I240&lt;&gt;"Cancelled"),1,0))</f>
        <v/>
      </c>
      <c r="T240" s="0" t="str">
        <f aca="false">IF($A240="","",IF($I240="Completed",ROW(),""))</f>
        <v/>
      </c>
      <c r="U240" s="0" t="str">
        <f aca="false">IF($A240="","",IF(OR($I240="Not Started",$I240="Planning",$I240="Blocked"),ROW(),""))</f>
        <v/>
      </c>
    </row>
    <row r="241" customFormat="false" ht="15" hidden="false" customHeight="false" outlineLevel="0" collapsed="false">
      <c r="B241" s="3"/>
      <c r="F241" s="3"/>
      <c r="G241" s="3"/>
      <c r="H241" s="3"/>
      <c r="I241" s="3"/>
      <c r="J241" s="37" t="str">
        <f aca="false">IF($A241="","",IFERROR(INDEX(Lists!$B$2:$B$10,MATCH($I241,Lists!$A$2:$A$10,0)),""))</f>
        <v/>
      </c>
      <c r="N241" s="0" t="str">
        <f aca="false">IF($A241="","",$L241-$K241+1)</f>
        <v/>
      </c>
      <c r="O241" s="39" t="str">
        <f aca="true">IF($A241="","",IF(OR($I241="Completed",$I241="Cancelled"),0,$L241-TODAY()))</f>
        <v/>
      </c>
      <c r="Q241" s="3"/>
      <c r="S241" s="0" t="str">
        <f aca="false">IF($A241="","",IF(AND($O241&lt;0,$I241&lt;&gt;"Completed",$I241&lt;&gt;"Cancelled"),1,0))</f>
        <v/>
      </c>
      <c r="T241" s="0" t="str">
        <f aca="false">IF($A241="","",IF($I241="Completed",ROW(),""))</f>
        <v/>
      </c>
      <c r="U241" s="0" t="str">
        <f aca="false">IF($A241="","",IF(OR($I241="Not Started",$I241="Planning",$I241="Blocked"),ROW(),""))</f>
        <v/>
      </c>
    </row>
    <row r="242" customFormat="false" ht="15" hidden="false" customHeight="false" outlineLevel="0" collapsed="false">
      <c r="B242" s="3"/>
      <c r="F242" s="3"/>
      <c r="G242" s="3"/>
      <c r="H242" s="3"/>
      <c r="I242" s="3"/>
      <c r="J242" s="37" t="str">
        <f aca="false">IF($A242="","",IFERROR(INDEX(Lists!$B$2:$B$10,MATCH($I242,Lists!$A$2:$A$10,0)),""))</f>
        <v/>
      </c>
      <c r="N242" s="0" t="str">
        <f aca="false">IF($A242="","",$L242-$K242+1)</f>
        <v/>
      </c>
      <c r="O242" s="39" t="str">
        <f aca="true">IF($A242="","",IF(OR($I242="Completed",$I242="Cancelled"),0,$L242-TODAY()))</f>
        <v/>
      </c>
      <c r="Q242" s="3"/>
      <c r="S242" s="0" t="str">
        <f aca="false">IF($A242="","",IF(AND($O242&lt;0,$I242&lt;&gt;"Completed",$I242&lt;&gt;"Cancelled"),1,0))</f>
        <v/>
      </c>
      <c r="T242" s="0" t="str">
        <f aca="false">IF($A242="","",IF($I242="Completed",ROW(),""))</f>
        <v/>
      </c>
      <c r="U242" s="0" t="str">
        <f aca="false">IF($A242="","",IF(OR($I242="Not Started",$I242="Planning",$I242="Blocked"),ROW(),""))</f>
        <v/>
      </c>
    </row>
    <row r="243" customFormat="false" ht="15" hidden="false" customHeight="false" outlineLevel="0" collapsed="false">
      <c r="B243" s="3"/>
      <c r="F243" s="3"/>
      <c r="G243" s="3"/>
      <c r="H243" s="3"/>
      <c r="I243" s="3"/>
      <c r="J243" s="37" t="str">
        <f aca="false">IF($A243="","",IFERROR(INDEX(Lists!$B$2:$B$10,MATCH($I243,Lists!$A$2:$A$10,0)),""))</f>
        <v/>
      </c>
      <c r="N243" s="0" t="str">
        <f aca="false">IF($A243="","",$L243-$K243+1)</f>
        <v/>
      </c>
      <c r="O243" s="39" t="str">
        <f aca="true">IF($A243="","",IF(OR($I243="Completed",$I243="Cancelled"),0,$L243-TODAY()))</f>
        <v/>
      </c>
      <c r="Q243" s="3"/>
      <c r="S243" s="0" t="str">
        <f aca="false">IF($A243="","",IF(AND($O243&lt;0,$I243&lt;&gt;"Completed",$I243&lt;&gt;"Cancelled"),1,0))</f>
        <v/>
      </c>
      <c r="T243" s="0" t="str">
        <f aca="false">IF($A243="","",IF($I243="Completed",ROW(),""))</f>
        <v/>
      </c>
      <c r="U243" s="0" t="str">
        <f aca="false">IF($A243="","",IF(OR($I243="Not Started",$I243="Planning",$I243="Blocked"),ROW(),""))</f>
        <v/>
      </c>
    </row>
    <row r="244" customFormat="false" ht="15" hidden="false" customHeight="false" outlineLevel="0" collapsed="false">
      <c r="B244" s="3"/>
      <c r="F244" s="3"/>
      <c r="G244" s="3"/>
      <c r="H244" s="3"/>
      <c r="I244" s="3"/>
      <c r="J244" s="37" t="str">
        <f aca="false">IF($A244="","",IFERROR(INDEX(Lists!$B$2:$B$10,MATCH($I244,Lists!$A$2:$A$10,0)),""))</f>
        <v/>
      </c>
      <c r="N244" s="0" t="str">
        <f aca="false">IF($A244="","",$L244-$K244+1)</f>
        <v/>
      </c>
      <c r="O244" s="39" t="str">
        <f aca="true">IF($A244="","",IF(OR($I244="Completed",$I244="Cancelled"),0,$L244-TODAY()))</f>
        <v/>
      </c>
      <c r="Q244" s="3"/>
      <c r="S244" s="0" t="str">
        <f aca="false">IF($A244="","",IF(AND($O244&lt;0,$I244&lt;&gt;"Completed",$I244&lt;&gt;"Cancelled"),1,0))</f>
        <v/>
      </c>
      <c r="T244" s="0" t="str">
        <f aca="false">IF($A244="","",IF($I244="Completed",ROW(),""))</f>
        <v/>
      </c>
      <c r="U244" s="0" t="str">
        <f aca="false">IF($A244="","",IF(OR($I244="Not Started",$I244="Planning",$I244="Blocked"),ROW(),""))</f>
        <v/>
      </c>
    </row>
    <row r="245" customFormat="false" ht="15" hidden="false" customHeight="false" outlineLevel="0" collapsed="false">
      <c r="B245" s="3"/>
      <c r="F245" s="3"/>
      <c r="G245" s="3"/>
      <c r="H245" s="3"/>
      <c r="I245" s="3"/>
      <c r="J245" s="37" t="str">
        <f aca="false">IF($A245="","",IFERROR(INDEX(Lists!$B$2:$B$10,MATCH($I245,Lists!$A$2:$A$10,0)),""))</f>
        <v/>
      </c>
      <c r="N245" s="0" t="str">
        <f aca="false">IF($A245="","",$L245-$K245+1)</f>
        <v/>
      </c>
      <c r="O245" s="39" t="str">
        <f aca="true">IF($A245="","",IF(OR($I245="Completed",$I245="Cancelled"),0,$L245-TODAY()))</f>
        <v/>
      </c>
      <c r="Q245" s="3"/>
      <c r="S245" s="0" t="str">
        <f aca="false">IF($A245="","",IF(AND($O245&lt;0,$I245&lt;&gt;"Completed",$I245&lt;&gt;"Cancelled"),1,0))</f>
        <v/>
      </c>
      <c r="T245" s="0" t="str">
        <f aca="false">IF($A245="","",IF($I245="Completed",ROW(),""))</f>
        <v/>
      </c>
      <c r="U245" s="0" t="str">
        <f aca="false">IF($A245="","",IF(OR($I245="Not Started",$I245="Planning",$I245="Blocked"),ROW(),""))</f>
        <v/>
      </c>
    </row>
    <row r="246" customFormat="false" ht="15" hidden="false" customHeight="false" outlineLevel="0" collapsed="false">
      <c r="B246" s="3"/>
      <c r="F246" s="3"/>
      <c r="G246" s="3"/>
      <c r="H246" s="3"/>
      <c r="I246" s="3"/>
      <c r="J246" s="37" t="str">
        <f aca="false">IF($A246="","",IFERROR(INDEX(Lists!$B$2:$B$10,MATCH($I246,Lists!$A$2:$A$10,0)),""))</f>
        <v/>
      </c>
      <c r="N246" s="0" t="str">
        <f aca="false">IF($A246="","",$L246-$K246+1)</f>
        <v/>
      </c>
      <c r="O246" s="39" t="str">
        <f aca="true">IF($A246="","",IF(OR($I246="Completed",$I246="Cancelled"),0,$L246-TODAY()))</f>
        <v/>
      </c>
      <c r="Q246" s="3"/>
      <c r="S246" s="0" t="str">
        <f aca="false">IF($A246="","",IF(AND($O246&lt;0,$I246&lt;&gt;"Completed",$I246&lt;&gt;"Cancelled"),1,0))</f>
        <v/>
      </c>
      <c r="T246" s="0" t="str">
        <f aca="false">IF($A246="","",IF($I246="Completed",ROW(),""))</f>
        <v/>
      </c>
      <c r="U246" s="0" t="str">
        <f aca="false">IF($A246="","",IF(OR($I246="Not Started",$I246="Planning",$I246="Blocked"),ROW(),""))</f>
        <v/>
      </c>
    </row>
    <row r="247" customFormat="false" ht="15" hidden="false" customHeight="false" outlineLevel="0" collapsed="false">
      <c r="B247" s="3"/>
      <c r="F247" s="3"/>
      <c r="G247" s="3"/>
      <c r="H247" s="3"/>
      <c r="I247" s="3"/>
      <c r="J247" s="37" t="str">
        <f aca="false">IF($A247="","",IFERROR(INDEX(Lists!$B$2:$B$10,MATCH($I247,Lists!$A$2:$A$10,0)),""))</f>
        <v/>
      </c>
      <c r="N247" s="0" t="str">
        <f aca="false">IF($A247="","",$L247-$K247+1)</f>
        <v/>
      </c>
      <c r="O247" s="39" t="str">
        <f aca="true">IF($A247="","",IF(OR($I247="Completed",$I247="Cancelled"),0,$L247-TODAY()))</f>
        <v/>
      </c>
      <c r="Q247" s="3"/>
      <c r="S247" s="0" t="str">
        <f aca="false">IF($A247="","",IF(AND($O247&lt;0,$I247&lt;&gt;"Completed",$I247&lt;&gt;"Cancelled"),1,0))</f>
        <v/>
      </c>
      <c r="T247" s="0" t="str">
        <f aca="false">IF($A247="","",IF($I247="Completed",ROW(),""))</f>
        <v/>
      </c>
      <c r="U247" s="0" t="str">
        <f aca="false">IF($A247="","",IF(OR($I247="Not Started",$I247="Planning",$I247="Blocked"),ROW(),""))</f>
        <v/>
      </c>
    </row>
    <row r="248" customFormat="false" ht="15" hidden="false" customHeight="false" outlineLevel="0" collapsed="false">
      <c r="B248" s="3"/>
      <c r="F248" s="3"/>
      <c r="G248" s="3"/>
      <c r="H248" s="3"/>
      <c r="I248" s="3"/>
      <c r="J248" s="37" t="str">
        <f aca="false">IF($A248="","",IFERROR(INDEX(Lists!$B$2:$B$10,MATCH($I248,Lists!$A$2:$A$10,0)),""))</f>
        <v/>
      </c>
      <c r="N248" s="0" t="str">
        <f aca="false">IF($A248="","",$L248-$K248+1)</f>
        <v/>
      </c>
      <c r="O248" s="39" t="str">
        <f aca="true">IF($A248="","",IF(OR($I248="Completed",$I248="Cancelled"),0,$L248-TODAY()))</f>
        <v/>
      </c>
      <c r="Q248" s="3"/>
      <c r="S248" s="0" t="str">
        <f aca="false">IF($A248="","",IF(AND($O248&lt;0,$I248&lt;&gt;"Completed",$I248&lt;&gt;"Cancelled"),1,0))</f>
        <v/>
      </c>
      <c r="T248" s="0" t="str">
        <f aca="false">IF($A248="","",IF($I248="Completed",ROW(),""))</f>
        <v/>
      </c>
      <c r="U248" s="0" t="str">
        <f aca="false">IF($A248="","",IF(OR($I248="Not Started",$I248="Planning",$I248="Blocked"),ROW(),""))</f>
        <v/>
      </c>
    </row>
    <row r="249" customFormat="false" ht="15" hidden="false" customHeight="false" outlineLevel="0" collapsed="false">
      <c r="B249" s="3"/>
      <c r="F249" s="3"/>
      <c r="G249" s="3"/>
      <c r="H249" s="3"/>
      <c r="I249" s="3"/>
      <c r="J249" s="37" t="str">
        <f aca="false">IF($A249="","",IFERROR(INDEX(Lists!$B$2:$B$10,MATCH($I249,Lists!$A$2:$A$10,0)),""))</f>
        <v/>
      </c>
      <c r="N249" s="0" t="str">
        <f aca="false">IF($A249="","",$L249-$K249+1)</f>
        <v/>
      </c>
      <c r="O249" s="39" t="str">
        <f aca="true">IF($A249="","",IF(OR($I249="Completed",$I249="Cancelled"),0,$L249-TODAY()))</f>
        <v/>
      </c>
      <c r="Q249" s="3"/>
      <c r="S249" s="0" t="str">
        <f aca="false">IF($A249="","",IF(AND($O249&lt;0,$I249&lt;&gt;"Completed",$I249&lt;&gt;"Cancelled"),1,0))</f>
        <v/>
      </c>
      <c r="T249" s="0" t="str">
        <f aca="false">IF($A249="","",IF($I249="Completed",ROW(),""))</f>
        <v/>
      </c>
      <c r="U249" s="0" t="str">
        <f aca="false">IF($A249="","",IF(OR($I249="Not Started",$I249="Planning",$I249="Blocked"),ROW(),""))</f>
        <v/>
      </c>
    </row>
    <row r="250" customFormat="false" ht="15" hidden="false" customHeight="false" outlineLevel="0" collapsed="false">
      <c r="B250" s="3"/>
      <c r="F250" s="3"/>
      <c r="G250" s="3"/>
      <c r="H250" s="3"/>
      <c r="I250" s="3"/>
      <c r="J250" s="37" t="str">
        <f aca="false">IF($A250="","",IFERROR(INDEX(Lists!$B$2:$B$10,MATCH($I250,Lists!$A$2:$A$10,0)),""))</f>
        <v/>
      </c>
      <c r="N250" s="0" t="str">
        <f aca="false">IF($A250="","",$L250-$K250+1)</f>
        <v/>
      </c>
      <c r="O250" s="39" t="str">
        <f aca="true">IF($A250="","",IF(OR($I250="Completed",$I250="Cancelled"),0,$L250-TODAY()))</f>
        <v/>
      </c>
      <c r="Q250" s="3"/>
      <c r="S250" s="0" t="str">
        <f aca="false">IF($A250="","",IF(AND($O250&lt;0,$I250&lt;&gt;"Completed",$I250&lt;&gt;"Cancelled"),1,0))</f>
        <v/>
      </c>
      <c r="T250" s="0" t="str">
        <f aca="false">IF($A250="","",IF($I250="Completed",ROW(),""))</f>
        <v/>
      </c>
      <c r="U250" s="0" t="str">
        <f aca="false">IF($A250="","",IF(OR($I250="Not Started",$I250="Planning",$I250="Blocked"),ROW(),""))</f>
        <v/>
      </c>
    </row>
    <row r="251" customFormat="false" ht="15" hidden="false" customHeight="false" outlineLevel="0" collapsed="false">
      <c r="B251" s="3"/>
      <c r="F251" s="3"/>
      <c r="G251" s="3"/>
      <c r="H251" s="3"/>
      <c r="I251" s="3"/>
      <c r="J251" s="37" t="str">
        <f aca="false">IF($A251="","",IFERROR(INDEX(Lists!$B$2:$B$10,MATCH($I251,Lists!$A$2:$A$10,0)),""))</f>
        <v/>
      </c>
      <c r="N251" s="0" t="str">
        <f aca="false">IF($A251="","",$L251-$K251+1)</f>
        <v/>
      </c>
      <c r="O251" s="39" t="str">
        <f aca="true">IF($A251="","",IF(OR($I251="Completed",$I251="Cancelled"),0,$L251-TODAY()))</f>
        <v/>
      </c>
      <c r="Q251" s="3"/>
      <c r="S251" s="0" t="str">
        <f aca="false">IF($A251="","",IF(AND($O251&lt;0,$I251&lt;&gt;"Completed",$I251&lt;&gt;"Cancelled"),1,0))</f>
        <v/>
      </c>
      <c r="T251" s="0" t="str">
        <f aca="false">IF($A251="","",IF($I251="Completed",ROW(),""))</f>
        <v/>
      </c>
      <c r="U251" s="0" t="str">
        <f aca="false">IF($A251="","",IF(OR($I251="Not Started",$I251="Planning",$I251="Blocked"),ROW(),""))</f>
        <v/>
      </c>
    </row>
    <row r="252" customFormat="false" ht="15" hidden="false" customHeight="false" outlineLevel="0" collapsed="false">
      <c r="B252" s="3"/>
      <c r="F252" s="3"/>
      <c r="G252" s="3"/>
      <c r="H252" s="3"/>
      <c r="I252" s="3"/>
      <c r="J252" s="37" t="str">
        <f aca="false">IF($A252="","",IFERROR(INDEX(Lists!$B$2:$B$10,MATCH($I252,Lists!$A$2:$A$10,0)),""))</f>
        <v/>
      </c>
      <c r="N252" s="0" t="str">
        <f aca="false">IF($A252="","",$L252-$K252+1)</f>
        <v/>
      </c>
      <c r="O252" s="39" t="str">
        <f aca="true">IF($A252="","",IF(OR($I252="Completed",$I252="Cancelled"),0,$L252-TODAY()))</f>
        <v/>
      </c>
      <c r="Q252" s="3"/>
      <c r="S252" s="0" t="str">
        <f aca="false">IF($A252="","",IF(AND($O252&lt;0,$I252&lt;&gt;"Completed",$I252&lt;&gt;"Cancelled"),1,0))</f>
        <v/>
      </c>
      <c r="T252" s="0" t="str">
        <f aca="false">IF($A252="","",IF($I252="Completed",ROW(),""))</f>
        <v/>
      </c>
      <c r="U252" s="0" t="str">
        <f aca="false">IF($A252="","",IF(OR($I252="Not Started",$I252="Planning",$I252="Blocked"),ROW(),""))</f>
        <v/>
      </c>
    </row>
    <row r="253" customFormat="false" ht="15" hidden="false" customHeight="false" outlineLevel="0" collapsed="false">
      <c r="B253" s="3"/>
      <c r="F253" s="3"/>
      <c r="G253" s="3"/>
      <c r="H253" s="3"/>
      <c r="I253" s="3"/>
      <c r="J253" s="37" t="str">
        <f aca="false">IF($A253="","",IFERROR(INDEX(Lists!$B$2:$B$10,MATCH($I253,Lists!$A$2:$A$10,0)),""))</f>
        <v/>
      </c>
      <c r="N253" s="0" t="str">
        <f aca="false">IF($A253="","",$L253-$K253+1)</f>
        <v/>
      </c>
      <c r="O253" s="39" t="str">
        <f aca="true">IF($A253="","",IF(OR($I253="Completed",$I253="Cancelled"),0,$L253-TODAY()))</f>
        <v/>
      </c>
      <c r="Q253" s="3"/>
      <c r="S253" s="0" t="str">
        <f aca="false">IF($A253="","",IF(AND($O253&lt;0,$I253&lt;&gt;"Completed",$I253&lt;&gt;"Cancelled"),1,0))</f>
        <v/>
      </c>
      <c r="T253" s="0" t="str">
        <f aca="false">IF($A253="","",IF($I253="Completed",ROW(),""))</f>
        <v/>
      </c>
      <c r="U253" s="0" t="str">
        <f aca="false">IF($A253="","",IF(OR($I253="Not Started",$I253="Planning",$I253="Blocked"),ROW(),""))</f>
        <v/>
      </c>
    </row>
    <row r="254" customFormat="false" ht="15" hidden="false" customHeight="false" outlineLevel="0" collapsed="false">
      <c r="B254" s="3"/>
      <c r="F254" s="3"/>
      <c r="G254" s="3"/>
      <c r="H254" s="3"/>
      <c r="I254" s="3"/>
      <c r="J254" s="37" t="str">
        <f aca="false">IF($A254="","",IFERROR(INDEX(Lists!$B$2:$B$10,MATCH($I254,Lists!$A$2:$A$10,0)),""))</f>
        <v/>
      </c>
      <c r="N254" s="0" t="str">
        <f aca="false">IF($A254="","",$L254-$K254+1)</f>
        <v/>
      </c>
      <c r="O254" s="39" t="str">
        <f aca="true">IF($A254="","",IF(OR($I254="Completed",$I254="Cancelled"),0,$L254-TODAY()))</f>
        <v/>
      </c>
      <c r="Q254" s="3"/>
      <c r="S254" s="0" t="str">
        <f aca="false">IF($A254="","",IF(AND($O254&lt;0,$I254&lt;&gt;"Completed",$I254&lt;&gt;"Cancelled"),1,0))</f>
        <v/>
      </c>
      <c r="T254" s="0" t="str">
        <f aca="false">IF($A254="","",IF($I254="Completed",ROW(),""))</f>
        <v/>
      </c>
      <c r="U254" s="0" t="str">
        <f aca="false">IF($A254="","",IF(OR($I254="Not Started",$I254="Planning",$I254="Blocked"),ROW(),""))</f>
        <v/>
      </c>
    </row>
    <row r="255" customFormat="false" ht="15" hidden="false" customHeight="false" outlineLevel="0" collapsed="false">
      <c r="B255" s="3"/>
      <c r="F255" s="3"/>
      <c r="G255" s="3"/>
      <c r="H255" s="3"/>
      <c r="I255" s="3"/>
      <c r="J255" s="37" t="str">
        <f aca="false">IF($A255="","",IFERROR(INDEX(Lists!$B$2:$B$10,MATCH($I255,Lists!$A$2:$A$10,0)),""))</f>
        <v/>
      </c>
      <c r="N255" s="0" t="str">
        <f aca="false">IF($A255="","",$L255-$K255+1)</f>
        <v/>
      </c>
      <c r="O255" s="39" t="str">
        <f aca="true">IF($A255="","",IF(OR($I255="Completed",$I255="Cancelled"),0,$L255-TODAY()))</f>
        <v/>
      </c>
      <c r="Q255" s="3"/>
      <c r="S255" s="0" t="str">
        <f aca="false">IF($A255="","",IF(AND($O255&lt;0,$I255&lt;&gt;"Completed",$I255&lt;&gt;"Cancelled"),1,0))</f>
        <v/>
      </c>
      <c r="T255" s="0" t="str">
        <f aca="false">IF($A255="","",IF($I255="Completed",ROW(),""))</f>
        <v/>
      </c>
      <c r="U255" s="0" t="str">
        <f aca="false">IF($A255="","",IF(OR($I255="Not Started",$I255="Planning",$I255="Blocked"),ROW(),""))</f>
        <v/>
      </c>
    </row>
    <row r="256" customFormat="false" ht="15" hidden="false" customHeight="false" outlineLevel="0" collapsed="false">
      <c r="B256" s="3"/>
      <c r="F256" s="3"/>
      <c r="G256" s="3"/>
      <c r="H256" s="3"/>
      <c r="I256" s="3"/>
      <c r="J256" s="37" t="str">
        <f aca="false">IF($A256="","",IFERROR(INDEX(Lists!$B$2:$B$10,MATCH($I256,Lists!$A$2:$A$10,0)),""))</f>
        <v/>
      </c>
      <c r="N256" s="0" t="str">
        <f aca="false">IF($A256="","",$L256-$K256+1)</f>
        <v/>
      </c>
      <c r="O256" s="39" t="str">
        <f aca="true">IF($A256="","",IF(OR($I256="Completed",$I256="Cancelled"),0,$L256-TODAY()))</f>
        <v/>
      </c>
      <c r="Q256" s="3"/>
      <c r="S256" s="0" t="str">
        <f aca="false">IF($A256="","",IF(AND($O256&lt;0,$I256&lt;&gt;"Completed",$I256&lt;&gt;"Cancelled"),1,0))</f>
        <v/>
      </c>
      <c r="T256" s="0" t="str">
        <f aca="false">IF($A256="","",IF($I256="Completed",ROW(),""))</f>
        <v/>
      </c>
      <c r="U256" s="0" t="str">
        <f aca="false">IF($A256="","",IF(OR($I256="Not Started",$I256="Planning",$I256="Blocked"),ROW(),""))</f>
        <v/>
      </c>
    </row>
    <row r="257" customFormat="false" ht="15" hidden="false" customHeight="false" outlineLevel="0" collapsed="false">
      <c r="B257" s="3"/>
      <c r="F257" s="3"/>
      <c r="G257" s="3"/>
      <c r="H257" s="3"/>
      <c r="I257" s="3"/>
      <c r="J257" s="37" t="str">
        <f aca="false">IF($A257="","",IFERROR(INDEX(Lists!$B$2:$B$10,MATCH($I257,Lists!$A$2:$A$10,0)),""))</f>
        <v/>
      </c>
      <c r="N257" s="0" t="str">
        <f aca="false">IF($A257="","",$L257-$K257+1)</f>
        <v/>
      </c>
      <c r="O257" s="39" t="str">
        <f aca="true">IF($A257="","",IF(OR($I257="Completed",$I257="Cancelled"),0,$L257-TODAY()))</f>
        <v/>
      </c>
      <c r="Q257" s="3"/>
      <c r="S257" s="0" t="str">
        <f aca="false">IF($A257="","",IF(AND($O257&lt;0,$I257&lt;&gt;"Completed",$I257&lt;&gt;"Cancelled"),1,0))</f>
        <v/>
      </c>
      <c r="T257" s="0" t="str">
        <f aca="false">IF($A257="","",IF($I257="Completed",ROW(),""))</f>
        <v/>
      </c>
      <c r="U257" s="0" t="str">
        <f aca="false">IF($A257="","",IF(OR($I257="Not Started",$I257="Planning",$I257="Blocked"),ROW(),""))</f>
        <v/>
      </c>
    </row>
    <row r="258" customFormat="false" ht="15" hidden="false" customHeight="false" outlineLevel="0" collapsed="false">
      <c r="B258" s="3"/>
      <c r="F258" s="3"/>
      <c r="G258" s="3"/>
      <c r="H258" s="3"/>
      <c r="I258" s="3"/>
      <c r="J258" s="37" t="str">
        <f aca="false">IF($A258="","",IFERROR(INDEX(Lists!$B$2:$B$10,MATCH($I258,Lists!$A$2:$A$10,0)),""))</f>
        <v/>
      </c>
      <c r="N258" s="0" t="str">
        <f aca="false">IF($A258="","",$L258-$K258+1)</f>
        <v/>
      </c>
      <c r="O258" s="39" t="str">
        <f aca="true">IF($A258="","",IF(OR($I258="Completed",$I258="Cancelled"),0,$L258-TODAY()))</f>
        <v/>
      </c>
      <c r="Q258" s="3"/>
      <c r="S258" s="0" t="str">
        <f aca="false">IF($A258="","",IF(AND($O258&lt;0,$I258&lt;&gt;"Completed",$I258&lt;&gt;"Cancelled"),1,0))</f>
        <v/>
      </c>
      <c r="T258" s="0" t="str">
        <f aca="false">IF($A258="","",IF($I258="Completed",ROW(),""))</f>
        <v/>
      </c>
      <c r="U258" s="0" t="str">
        <f aca="false">IF($A258="","",IF(OR($I258="Not Started",$I258="Planning",$I258="Blocked"),ROW(),""))</f>
        <v/>
      </c>
    </row>
    <row r="259" customFormat="false" ht="15" hidden="false" customHeight="false" outlineLevel="0" collapsed="false">
      <c r="B259" s="3"/>
      <c r="F259" s="3"/>
      <c r="G259" s="3"/>
      <c r="H259" s="3"/>
      <c r="I259" s="3"/>
      <c r="J259" s="37" t="str">
        <f aca="false">IF($A259="","",IFERROR(INDEX(Lists!$B$2:$B$10,MATCH($I259,Lists!$A$2:$A$10,0)),""))</f>
        <v/>
      </c>
      <c r="N259" s="0" t="str">
        <f aca="false">IF($A259="","",$L259-$K259+1)</f>
        <v/>
      </c>
      <c r="O259" s="39" t="str">
        <f aca="true">IF($A259="","",IF(OR($I259="Completed",$I259="Cancelled"),0,$L259-TODAY()))</f>
        <v/>
      </c>
      <c r="Q259" s="3"/>
      <c r="S259" s="0" t="str">
        <f aca="false">IF($A259="","",IF(AND($O259&lt;0,$I259&lt;&gt;"Completed",$I259&lt;&gt;"Cancelled"),1,0))</f>
        <v/>
      </c>
      <c r="T259" s="0" t="str">
        <f aca="false">IF($A259="","",IF($I259="Completed",ROW(),""))</f>
        <v/>
      </c>
      <c r="U259" s="0" t="str">
        <f aca="false">IF($A259="","",IF(OR($I259="Not Started",$I259="Planning",$I259="Blocked"),ROW(),""))</f>
        <v/>
      </c>
    </row>
    <row r="260" customFormat="false" ht="15" hidden="false" customHeight="false" outlineLevel="0" collapsed="false">
      <c r="B260" s="3"/>
      <c r="F260" s="3"/>
      <c r="G260" s="3"/>
      <c r="H260" s="3"/>
      <c r="I260" s="3"/>
      <c r="J260" s="37" t="str">
        <f aca="false">IF($A260="","",IFERROR(INDEX(Lists!$B$2:$B$10,MATCH($I260,Lists!$A$2:$A$10,0)),""))</f>
        <v/>
      </c>
      <c r="N260" s="0" t="str">
        <f aca="false">IF($A260="","",$L260-$K260+1)</f>
        <v/>
      </c>
      <c r="O260" s="39" t="str">
        <f aca="true">IF($A260="","",IF(OR($I260="Completed",$I260="Cancelled"),0,$L260-TODAY()))</f>
        <v/>
      </c>
      <c r="Q260" s="3"/>
      <c r="S260" s="0" t="str">
        <f aca="false">IF($A260="","",IF(AND($O260&lt;0,$I260&lt;&gt;"Completed",$I260&lt;&gt;"Cancelled"),1,0))</f>
        <v/>
      </c>
      <c r="T260" s="0" t="str">
        <f aca="false">IF($A260="","",IF($I260="Completed",ROW(),""))</f>
        <v/>
      </c>
      <c r="U260" s="0" t="str">
        <f aca="false">IF($A260="","",IF(OR($I260="Not Started",$I260="Planning",$I260="Blocked"),ROW(),""))</f>
        <v/>
      </c>
    </row>
    <row r="261" customFormat="false" ht="15" hidden="false" customHeight="false" outlineLevel="0" collapsed="false">
      <c r="B261" s="3"/>
      <c r="F261" s="3"/>
      <c r="G261" s="3"/>
      <c r="H261" s="3"/>
      <c r="I261" s="3"/>
      <c r="J261" s="37" t="str">
        <f aca="false">IF($A261="","",IFERROR(INDEX(Lists!$B$2:$B$10,MATCH($I261,Lists!$A$2:$A$10,0)),""))</f>
        <v/>
      </c>
      <c r="N261" s="0" t="str">
        <f aca="false">IF($A261="","",$L261-$K261+1)</f>
        <v/>
      </c>
      <c r="O261" s="39" t="str">
        <f aca="true">IF($A261="","",IF(OR($I261="Completed",$I261="Cancelled"),0,$L261-TODAY()))</f>
        <v/>
      </c>
      <c r="Q261" s="3"/>
      <c r="S261" s="0" t="str">
        <f aca="false">IF($A261="","",IF(AND($O261&lt;0,$I261&lt;&gt;"Completed",$I261&lt;&gt;"Cancelled"),1,0))</f>
        <v/>
      </c>
      <c r="T261" s="0" t="str">
        <f aca="false">IF($A261="","",IF($I261="Completed",ROW(),""))</f>
        <v/>
      </c>
      <c r="U261" s="0" t="str">
        <f aca="false">IF($A261="","",IF(OR($I261="Not Started",$I261="Planning",$I261="Blocked"),ROW(),""))</f>
        <v/>
      </c>
    </row>
    <row r="262" customFormat="false" ht="15" hidden="false" customHeight="false" outlineLevel="0" collapsed="false">
      <c r="B262" s="3"/>
      <c r="F262" s="3"/>
      <c r="G262" s="3"/>
      <c r="H262" s="3"/>
      <c r="I262" s="3"/>
      <c r="J262" s="37" t="str">
        <f aca="false">IF($A262="","",IFERROR(INDEX(Lists!$B$2:$B$10,MATCH($I262,Lists!$A$2:$A$10,0)),""))</f>
        <v/>
      </c>
      <c r="N262" s="0" t="str">
        <f aca="false">IF($A262="","",$L262-$K262+1)</f>
        <v/>
      </c>
      <c r="O262" s="39" t="str">
        <f aca="true">IF($A262="","",IF(OR($I262="Completed",$I262="Cancelled"),0,$L262-TODAY()))</f>
        <v/>
      </c>
      <c r="Q262" s="3"/>
      <c r="S262" s="0" t="str">
        <f aca="false">IF($A262="","",IF(AND($O262&lt;0,$I262&lt;&gt;"Completed",$I262&lt;&gt;"Cancelled"),1,0))</f>
        <v/>
      </c>
      <c r="T262" s="0" t="str">
        <f aca="false">IF($A262="","",IF($I262="Completed",ROW(),""))</f>
        <v/>
      </c>
      <c r="U262" s="0" t="str">
        <f aca="false">IF($A262="","",IF(OR($I262="Not Started",$I262="Planning",$I262="Blocked"),ROW(),""))</f>
        <v/>
      </c>
    </row>
    <row r="263" customFormat="false" ht="15" hidden="false" customHeight="false" outlineLevel="0" collapsed="false">
      <c r="B263" s="3"/>
      <c r="F263" s="3"/>
      <c r="G263" s="3"/>
      <c r="H263" s="3"/>
      <c r="I263" s="3"/>
      <c r="J263" s="37" t="str">
        <f aca="false">IF($A263="","",IFERROR(INDEX(Lists!$B$2:$B$10,MATCH($I263,Lists!$A$2:$A$10,0)),""))</f>
        <v/>
      </c>
      <c r="N263" s="0" t="str">
        <f aca="false">IF($A263="","",$L263-$K263+1)</f>
        <v/>
      </c>
      <c r="O263" s="39" t="str">
        <f aca="true">IF($A263="","",IF(OR($I263="Completed",$I263="Cancelled"),0,$L263-TODAY()))</f>
        <v/>
      </c>
      <c r="Q263" s="3"/>
      <c r="S263" s="0" t="str">
        <f aca="false">IF($A263="","",IF(AND($O263&lt;0,$I263&lt;&gt;"Completed",$I263&lt;&gt;"Cancelled"),1,0))</f>
        <v/>
      </c>
      <c r="T263" s="0" t="str">
        <f aca="false">IF($A263="","",IF($I263="Completed",ROW(),""))</f>
        <v/>
      </c>
      <c r="U263" s="0" t="str">
        <f aca="false">IF($A263="","",IF(OR($I263="Not Started",$I263="Planning",$I263="Blocked"),ROW(),""))</f>
        <v/>
      </c>
    </row>
    <row r="264" customFormat="false" ht="15" hidden="false" customHeight="false" outlineLevel="0" collapsed="false">
      <c r="B264" s="3"/>
      <c r="F264" s="3"/>
      <c r="G264" s="3"/>
      <c r="H264" s="3"/>
      <c r="I264" s="3"/>
      <c r="J264" s="37" t="str">
        <f aca="false">IF($A264="","",IFERROR(INDEX(Lists!$B$2:$B$10,MATCH($I264,Lists!$A$2:$A$10,0)),""))</f>
        <v/>
      </c>
      <c r="N264" s="0" t="str">
        <f aca="false">IF($A264="","",$L264-$K264+1)</f>
        <v/>
      </c>
      <c r="O264" s="39" t="str">
        <f aca="true">IF($A264="","",IF(OR($I264="Completed",$I264="Cancelled"),0,$L264-TODAY()))</f>
        <v/>
      </c>
      <c r="Q264" s="3"/>
      <c r="S264" s="0" t="str">
        <f aca="false">IF($A264="","",IF(AND($O264&lt;0,$I264&lt;&gt;"Completed",$I264&lt;&gt;"Cancelled"),1,0))</f>
        <v/>
      </c>
      <c r="T264" s="0" t="str">
        <f aca="false">IF($A264="","",IF($I264="Completed",ROW(),""))</f>
        <v/>
      </c>
      <c r="U264" s="0" t="str">
        <f aca="false">IF($A264="","",IF(OR($I264="Not Started",$I264="Planning",$I264="Blocked"),ROW(),""))</f>
        <v/>
      </c>
    </row>
    <row r="265" customFormat="false" ht="15" hidden="false" customHeight="false" outlineLevel="0" collapsed="false">
      <c r="B265" s="3"/>
      <c r="F265" s="3"/>
      <c r="G265" s="3"/>
      <c r="H265" s="3"/>
      <c r="I265" s="3"/>
      <c r="J265" s="37" t="str">
        <f aca="false">IF($A265="","",IFERROR(INDEX(Lists!$B$2:$B$10,MATCH($I265,Lists!$A$2:$A$10,0)),""))</f>
        <v/>
      </c>
      <c r="N265" s="0" t="str">
        <f aca="false">IF($A265="","",$L265-$K265+1)</f>
        <v/>
      </c>
      <c r="O265" s="39" t="str">
        <f aca="true">IF($A265="","",IF(OR($I265="Completed",$I265="Cancelled"),0,$L265-TODAY()))</f>
        <v/>
      </c>
      <c r="Q265" s="3"/>
      <c r="S265" s="0" t="str">
        <f aca="false">IF($A265="","",IF(AND($O265&lt;0,$I265&lt;&gt;"Completed",$I265&lt;&gt;"Cancelled"),1,0))</f>
        <v/>
      </c>
      <c r="T265" s="0" t="str">
        <f aca="false">IF($A265="","",IF($I265="Completed",ROW(),""))</f>
        <v/>
      </c>
      <c r="U265" s="0" t="str">
        <f aca="false">IF($A265="","",IF(OR($I265="Not Started",$I265="Planning",$I265="Blocked"),ROW(),""))</f>
        <v/>
      </c>
    </row>
    <row r="266" customFormat="false" ht="15" hidden="false" customHeight="false" outlineLevel="0" collapsed="false">
      <c r="B266" s="3"/>
      <c r="F266" s="3"/>
      <c r="G266" s="3"/>
      <c r="H266" s="3"/>
      <c r="I266" s="3"/>
      <c r="J266" s="37" t="str">
        <f aca="false">IF($A266="","",IFERROR(INDEX(Lists!$B$2:$B$10,MATCH($I266,Lists!$A$2:$A$10,0)),""))</f>
        <v/>
      </c>
      <c r="N266" s="0" t="str">
        <f aca="false">IF($A266="","",$L266-$K266+1)</f>
        <v/>
      </c>
      <c r="O266" s="39" t="str">
        <f aca="true">IF($A266="","",IF(OR($I266="Completed",$I266="Cancelled"),0,$L266-TODAY()))</f>
        <v/>
      </c>
      <c r="Q266" s="3"/>
      <c r="S266" s="0" t="str">
        <f aca="false">IF($A266="","",IF(AND($O266&lt;0,$I266&lt;&gt;"Completed",$I266&lt;&gt;"Cancelled"),1,0))</f>
        <v/>
      </c>
      <c r="T266" s="0" t="str">
        <f aca="false">IF($A266="","",IF($I266="Completed",ROW(),""))</f>
        <v/>
      </c>
      <c r="U266" s="0" t="str">
        <f aca="false">IF($A266="","",IF(OR($I266="Not Started",$I266="Planning",$I266="Blocked"),ROW(),""))</f>
        <v/>
      </c>
    </row>
    <row r="267" customFormat="false" ht="15" hidden="false" customHeight="false" outlineLevel="0" collapsed="false">
      <c r="B267" s="3"/>
      <c r="F267" s="3"/>
      <c r="G267" s="3"/>
      <c r="H267" s="3"/>
      <c r="I267" s="3"/>
      <c r="J267" s="37" t="str">
        <f aca="false">IF($A267="","",IFERROR(INDEX(Lists!$B$2:$B$10,MATCH($I267,Lists!$A$2:$A$10,0)),""))</f>
        <v/>
      </c>
      <c r="N267" s="0" t="str">
        <f aca="false">IF($A267="","",$L267-$K267+1)</f>
        <v/>
      </c>
      <c r="O267" s="39" t="str">
        <f aca="true">IF($A267="","",IF(OR($I267="Completed",$I267="Cancelled"),0,$L267-TODAY()))</f>
        <v/>
      </c>
      <c r="Q267" s="3"/>
      <c r="S267" s="0" t="str">
        <f aca="false">IF($A267="","",IF(AND($O267&lt;0,$I267&lt;&gt;"Completed",$I267&lt;&gt;"Cancelled"),1,0))</f>
        <v/>
      </c>
      <c r="T267" s="0" t="str">
        <f aca="false">IF($A267="","",IF($I267="Completed",ROW(),""))</f>
        <v/>
      </c>
      <c r="U267" s="0" t="str">
        <f aca="false">IF($A267="","",IF(OR($I267="Not Started",$I267="Planning",$I267="Blocked"),ROW(),""))</f>
        <v/>
      </c>
    </row>
    <row r="268" customFormat="false" ht="15" hidden="false" customHeight="false" outlineLevel="0" collapsed="false">
      <c r="B268" s="3"/>
      <c r="F268" s="3"/>
      <c r="G268" s="3"/>
      <c r="H268" s="3"/>
      <c r="I268" s="3"/>
      <c r="J268" s="37" t="str">
        <f aca="false">IF($A268="","",IFERROR(INDEX(Lists!$B$2:$B$10,MATCH($I268,Lists!$A$2:$A$10,0)),""))</f>
        <v/>
      </c>
      <c r="N268" s="0" t="str">
        <f aca="false">IF($A268="","",$L268-$K268+1)</f>
        <v/>
      </c>
      <c r="O268" s="39" t="str">
        <f aca="true">IF($A268="","",IF(OR($I268="Completed",$I268="Cancelled"),0,$L268-TODAY()))</f>
        <v/>
      </c>
      <c r="Q268" s="3"/>
      <c r="S268" s="0" t="str">
        <f aca="false">IF($A268="","",IF(AND($O268&lt;0,$I268&lt;&gt;"Completed",$I268&lt;&gt;"Cancelled"),1,0))</f>
        <v/>
      </c>
      <c r="T268" s="0" t="str">
        <f aca="false">IF($A268="","",IF($I268="Completed",ROW(),""))</f>
        <v/>
      </c>
      <c r="U268" s="0" t="str">
        <f aca="false">IF($A268="","",IF(OR($I268="Not Started",$I268="Planning",$I268="Blocked"),ROW(),""))</f>
        <v/>
      </c>
    </row>
    <row r="269" customFormat="false" ht="15" hidden="false" customHeight="false" outlineLevel="0" collapsed="false">
      <c r="B269" s="3"/>
      <c r="F269" s="3"/>
      <c r="G269" s="3"/>
      <c r="H269" s="3"/>
      <c r="I269" s="3"/>
      <c r="J269" s="37" t="str">
        <f aca="false">IF($A269="","",IFERROR(INDEX(Lists!$B$2:$B$10,MATCH($I269,Lists!$A$2:$A$10,0)),""))</f>
        <v/>
      </c>
      <c r="N269" s="0" t="str">
        <f aca="false">IF($A269="","",$L269-$K269+1)</f>
        <v/>
      </c>
      <c r="O269" s="39" t="str">
        <f aca="true">IF($A269="","",IF(OR($I269="Completed",$I269="Cancelled"),0,$L269-TODAY()))</f>
        <v/>
      </c>
      <c r="Q269" s="3"/>
      <c r="S269" s="0" t="str">
        <f aca="false">IF($A269="","",IF(AND($O269&lt;0,$I269&lt;&gt;"Completed",$I269&lt;&gt;"Cancelled"),1,0))</f>
        <v/>
      </c>
      <c r="T269" s="0" t="str">
        <f aca="false">IF($A269="","",IF($I269="Completed",ROW(),""))</f>
        <v/>
      </c>
      <c r="U269" s="0" t="str">
        <f aca="false">IF($A269="","",IF(OR($I269="Not Started",$I269="Planning",$I269="Blocked"),ROW(),""))</f>
        <v/>
      </c>
    </row>
    <row r="270" customFormat="false" ht="15" hidden="false" customHeight="false" outlineLevel="0" collapsed="false">
      <c r="B270" s="3"/>
      <c r="F270" s="3"/>
      <c r="G270" s="3"/>
      <c r="H270" s="3"/>
      <c r="I270" s="3"/>
      <c r="J270" s="37" t="str">
        <f aca="false">IF($A270="","",IFERROR(INDEX(Lists!$B$2:$B$10,MATCH($I270,Lists!$A$2:$A$10,0)),""))</f>
        <v/>
      </c>
      <c r="N270" s="0" t="str">
        <f aca="false">IF($A270="","",$L270-$K270+1)</f>
        <v/>
      </c>
      <c r="O270" s="39" t="str">
        <f aca="true">IF($A270="","",IF(OR($I270="Completed",$I270="Cancelled"),0,$L270-TODAY()))</f>
        <v/>
      </c>
      <c r="Q270" s="3"/>
      <c r="S270" s="0" t="str">
        <f aca="false">IF($A270="","",IF(AND($O270&lt;0,$I270&lt;&gt;"Completed",$I270&lt;&gt;"Cancelled"),1,0))</f>
        <v/>
      </c>
      <c r="T270" s="0" t="str">
        <f aca="false">IF($A270="","",IF($I270="Completed",ROW(),""))</f>
        <v/>
      </c>
      <c r="U270" s="0" t="str">
        <f aca="false">IF($A270="","",IF(OR($I270="Not Started",$I270="Planning",$I270="Blocked"),ROW(),""))</f>
        <v/>
      </c>
    </row>
    <row r="271" customFormat="false" ht="15" hidden="false" customHeight="false" outlineLevel="0" collapsed="false">
      <c r="B271" s="3"/>
      <c r="F271" s="3"/>
      <c r="G271" s="3"/>
      <c r="H271" s="3"/>
      <c r="I271" s="3"/>
      <c r="J271" s="37" t="str">
        <f aca="false">IF($A271="","",IFERROR(INDEX(Lists!$B$2:$B$10,MATCH($I271,Lists!$A$2:$A$10,0)),""))</f>
        <v/>
      </c>
      <c r="N271" s="0" t="str">
        <f aca="false">IF($A271="","",$L271-$K271+1)</f>
        <v/>
      </c>
      <c r="O271" s="39" t="str">
        <f aca="true">IF($A271="","",IF(OR($I271="Completed",$I271="Cancelled"),0,$L271-TODAY()))</f>
        <v/>
      </c>
      <c r="Q271" s="3"/>
      <c r="S271" s="0" t="str">
        <f aca="false">IF($A271="","",IF(AND($O271&lt;0,$I271&lt;&gt;"Completed",$I271&lt;&gt;"Cancelled"),1,0))</f>
        <v/>
      </c>
      <c r="T271" s="0" t="str">
        <f aca="false">IF($A271="","",IF($I271="Completed",ROW(),""))</f>
        <v/>
      </c>
      <c r="U271" s="0" t="str">
        <f aca="false">IF($A271="","",IF(OR($I271="Not Started",$I271="Planning",$I271="Blocked"),ROW(),""))</f>
        <v/>
      </c>
    </row>
    <row r="272" customFormat="false" ht="15" hidden="false" customHeight="false" outlineLevel="0" collapsed="false">
      <c r="B272" s="3"/>
      <c r="F272" s="3"/>
      <c r="G272" s="3"/>
      <c r="H272" s="3"/>
      <c r="I272" s="3"/>
      <c r="J272" s="37" t="str">
        <f aca="false">IF($A272="","",IFERROR(INDEX(Lists!$B$2:$B$10,MATCH($I272,Lists!$A$2:$A$10,0)),""))</f>
        <v/>
      </c>
      <c r="N272" s="0" t="str">
        <f aca="false">IF($A272="","",$L272-$K272+1)</f>
        <v/>
      </c>
      <c r="O272" s="39" t="str">
        <f aca="true">IF($A272="","",IF(OR($I272="Completed",$I272="Cancelled"),0,$L272-TODAY()))</f>
        <v/>
      </c>
      <c r="Q272" s="3"/>
      <c r="S272" s="0" t="str">
        <f aca="false">IF($A272="","",IF(AND($O272&lt;0,$I272&lt;&gt;"Completed",$I272&lt;&gt;"Cancelled"),1,0))</f>
        <v/>
      </c>
      <c r="T272" s="0" t="str">
        <f aca="false">IF($A272="","",IF($I272="Completed",ROW(),""))</f>
        <v/>
      </c>
      <c r="U272" s="0" t="str">
        <f aca="false">IF($A272="","",IF(OR($I272="Not Started",$I272="Planning",$I272="Blocked"),ROW(),""))</f>
        <v/>
      </c>
    </row>
    <row r="273" customFormat="false" ht="15" hidden="false" customHeight="false" outlineLevel="0" collapsed="false">
      <c r="B273" s="3"/>
      <c r="F273" s="3"/>
      <c r="G273" s="3"/>
      <c r="H273" s="3"/>
      <c r="I273" s="3"/>
      <c r="J273" s="37" t="str">
        <f aca="false">IF($A273="","",IFERROR(INDEX(Lists!$B$2:$B$10,MATCH($I273,Lists!$A$2:$A$10,0)),""))</f>
        <v/>
      </c>
      <c r="N273" s="0" t="str">
        <f aca="false">IF($A273="","",$L273-$K273+1)</f>
        <v/>
      </c>
      <c r="O273" s="39" t="str">
        <f aca="true">IF($A273="","",IF(OR($I273="Completed",$I273="Cancelled"),0,$L273-TODAY()))</f>
        <v/>
      </c>
      <c r="Q273" s="3"/>
      <c r="S273" s="0" t="str">
        <f aca="false">IF($A273="","",IF(AND($O273&lt;0,$I273&lt;&gt;"Completed",$I273&lt;&gt;"Cancelled"),1,0))</f>
        <v/>
      </c>
      <c r="T273" s="0" t="str">
        <f aca="false">IF($A273="","",IF($I273="Completed",ROW(),""))</f>
        <v/>
      </c>
      <c r="U273" s="0" t="str">
        <f aca="false">IF($A273="","",IF(OR($I273="Not Started",$I273="Planning",$I273="Blocked"),ROW(),""))</f>
        <v/>
      </c>
    </row>
    <row r="274" customFormat="false" ht="15" hidden="false" customHeight="false" outlineLevel="0" collapsed="false">
      <c r="B274" s="3"/>
      <c r="F274" s="3"/>
      <c r="G274" s="3"/>
      <c r="H274" s="3"/>
      <c r="I274" s="3"/>
      <c r="J274" s="37" t="str">
        <f aca="false">IF($A274="","",IFERROR(INDEX(Lists!$B$2:$B$10,MATCH($I274,Lists!$A$2:$A$10,0)),""))</f>
        <v/>
      </c>
      <c r="N274" s="0" t="str">
        <f aca="false">IF($A274="","",$L274-$K274+1)</f>
        <v/>
      </c>
      <c r="O274" s="39" t="str">
        <f aca="true">IF($A274="","",IF(OR($I274="Completed",$I274="Cancelled"),0,$L274-TODAY()))</f>
        <v/>
      </c>
      <c r="Q274" s="3"/>
      <c r="S274" s="0" t="str">
        <f aca="false">IF($A274="","",IF(AND($O274&lt;0,$I274&lt;&gt;"Completed",$I274&lt;&gt;"Cancelled"),1,0))</f>
        <v/>
      </c>
      <c r="T274" s="0" t="str">
        <f aca="false">IF($A274="","",IF($I274="Completed",ROW(),""))</f>
        <v/>
      </c>
      <c r="U274" s="0" t="str">
        <f aca="false">IF($A274="","",IF(OR($I274="Not Started",$I274="Planning",$I274="Blocked"),ROW(),""))</f>
        <v/>
      </c>
    </row>
    <row r="275" customFormat="false" ht="15" hidden="false" customHeight="false" outlineLevel="0" collapsed="false">
      <c r="B275" s="3"/>
      <c r="F275" s="3"/>
      <c r="G275" s="3"/>
      <c r="H275" s="3"/>
      <c r="I275" s="3"/>
      <c r="J275" s="37" t="str">
        <f aca="false">IF($A275="","",IFERROR(INDEX(Lists!$B$2:$B$10,MATCH($I275,Lists!$A$2:$A$10,0)),""))</f>
        <v/>
      </c>
      <c r="N275" s="0" t="str">
        <f aca="false">IF($A275="","",$L275-$K275+1)</f>
        <v/>
      </c>
      <c r="O275" s="39" t="str">
        <f aca="true">IF($A275="","",IF(OR($I275="Completed",$I275="Cancelled"),0,$L275-TODAY()))</f>
        <v/>
      </c>
      <c r="Q275" s="3"/>
      <c r="S275" s="0" t="str">
        <f aca="false">IF($A275="","",IF(AND($O275&lt;0,$I275&lt;&gt;"Completed",$I275&lt;&gt;"Cancelled"),1,0))</f>
        <v/>
      </c>
      <c r="T275" s="0" t="str">
        <f aca="false">IF($A275="","",IF($I275="Completed",ROW(),""))</f>
        <v/>
      </c>
      <c r="U275" s="0" t="str">
        <f aca="false">IF($A275="","",IF(OR($I275="Not Started",$I275="Planning",$I275="Blocked"),ROW(),""))</f>
        <v/>
      </c>
    </row>
    <row r="276" customFormat="false" ht="15" hidden="false" customHeight="false" outlineLevel="0" collapsed="false">
      <c r="B276" s="3"/>
      <c r="F276" s="3"/>
      <c r="G276" s="3"/>
      <c r="H276" s="3"/>
      <c r="I276" s="3"/>
      <c r="J276" s="37" t="str">
        <f aca="false">IF($A276="","",IFERROR(INDEX(Lists!$B$2:$B$10,MATCH($I276,Lists!$A$2:$A$10,0)),""))</f>
        <v/>
      </c>
      <c r="N276" s="0" t="str">
        <f aca="false">IF($A276="","",$L276-$K276+1)</f>
        <v/>
      </c>
      <c r="O276" s="39" t="str">
        <f aca="true">IF($A276="","",IF(OR($I276="Completed",$I276="Cancelled"),0,$L276-TODAY()))</f>
        <v/>
      </c>
      <c r="Q276" s="3"/>
      <c r="S276" s="0" t="str">
        <f aca="false">IF($A276="","",IF(AND($O276&lt;0,$I276&lt;&gt;"Completed",$I276&lt;&gt;"Cancelled"),1,0))</f>
        <v/>
      </c>
      <c r="T276" s="0" t="str">
        <f aca="false">IF($A276="","",IF($I276="Completed",ROW(),""))</f>
        <v/>
      </c>
      <c r="U276" s="0" t="str">
        <f aca="false">IF($A276="","",IF(OR($I276="Not Started",$I276="Planning",$I276="Blocked"),ROW(),""))</f>
        <v/>
      </c>
    </row>
    <row r="277" customFormat="false" ht="15" hidden="false" customHeight="false" outlineLevel="0" collapsed="false">
      <c r="B277" s="3"/>
      <c r="F277" s="3"/>
      <c r="G277" s="3"/>
      <c r="H277" s="3"/>
      <c r="I277" s="3"/>
      <c r="J277" s="37" t="str">
        <f aca="false">IF($A277="","",IFERROR(INDEX(Lists!$B$2:$B$10,MATCH($I277,Lists!$A$2:$A$10,0)),""))</f>
        <v/>
      </c>
      <c r="N277" s="0" t="str">
        <f aca="false">IF($A277="","",$L277-$K277+1)</f>
        <v/>
      </c>
      <c r="O277" s="39" t="str">
        <f aca="true">IF($A277="","",IF(OR($I277="Completed",$I277="Cancelled"),0,$L277-TODAY()))</f>
        <v/>
      </c>
      <c r="Q277" s="3"/>
      <c r="S277" s="0" t="str">
        <f aca="false">IF($A277="","",IF(AND($O277&lt;0,$I277&lt;&gt;"Completed",$I277&lt;&gt;"Cancelled"),1,0))</f>
        <v/>
      </c>
      <c r="T277" s="0" t="str">
        <f aca="false">IF($A277="","",IF($I277="Completed",ROW(),""))</f>
        <v/>
      </c>
      <c r="U277" s="0" t="str">
        <f aca="false">IF($A277="","",IF(OR($I277="Not Started",$I277="Planning",$I277="Blocked"),ROW(),""))</f>
        <v/>
      </c>
    </row>
    <row r="278" customFormat="false" ht="15" hidden="false" customHeight="false" outlineLevel="0" collapsed="false">
      <c r="B278" s="3"/>
      <c r="F278" s="3"/>
      <c r="G278" s="3"/>
      <c r="H278" s="3"/>
      <c r="I278" s="3"/>
      <c r="J278" s="37" t="str">
        <f aca="false">IF($A278="","",IFERROR(INDEX(Lists!$B$2:$B$10,MATCH($I278,Lists!$A$2:$A$10,0)),""))</f>
        <v/>
      </c>
      <c r="N278" s="0" t="str">
        <f aca="false">IF($A278="","",$L278-$K278+1)</f>
        <v/>
      </c>
      <c r="O278" s="39" t="str">
        <f aca="true">IF($A278="","",IF(OR($I278="Completed",$I278="Cancelled"),0,$L278-TODAY()))</f>
        <v/>
      </c>
      <c r="Q278" s="3"/>
      <c r="S278" s="0" t="str">
        <f aca="false">IF($A278="","",IF(AND($O278&lt;0,$I278&lt;&gt;"Completed",$I278&lt;&gt;"Cancelled"),1,0))</f>
        <v/>
      </c>
      <c r="T278" s="0" t="str">
        <f aca="false">IF($A278="","",IF($I278="Completed",ROW(),""))</f>
        <v/>
      </c>
      <c r="U278" s="0" t="str">
        <f aca="false">IF($A278="","",IF(OR($I278="Not Started",$I278="Planning",$I278="Blocked"),ROW(),""))</f>
        <v/>
      </c>
    </row>
    <row r="279" customFormat="false" ht="15" hidden="false" customHeight="false" outlineLevel="0" collapsed="false">
      <c r="B279" s="3"/>
      <c r="F279" s="3"/>
      <c r="G279" s="3"/>
      <c r="H279" s="3"/>
      <c r="I279" s="3"/>
      <c r="J279" s="37" t="str">
        <f aca="false">IF($A279="","",IFERROR(INDEX(Lists!$B$2:$B$10,MATCH($I279,Lists!$A$2:$A$10,0)),""))</f>
        <v/>
      </c>
      <c r="N279" s="0" t="str">
        <f aca="false">IF($A279="","",$L279-$K279+1)</f>
        <v/>
      </c>
      <c r="O279" s="39" t="str">
        <f aca="true">IF($A279="","",IF(OR($I279="Completed",$I279="Cancelled"),0,$L279-TODAY()))</f>
        <v/>
      </c>
      <c r="Q279" s="3"/>
      <c r="S279" s="0" t="str">
        <f aca="false">IF($A279="","",IF(AND($O279&lt;0,$I279&lt;&gt;"Completed",$I279&lt;&gt;"Cancelled"),1,0))</f>
        <v/>
      </c>
      <c r="T279" s="0" t="str">
        <f aca="false">IF($A279="","",IF($I279="Completed",ROW(),""))</f>
        <v/>
      </c>
      <c r="U279" s="0" t="str">
        <f aca="false">IF($A279="","",IF(OR($I279="Not Started",$I279="Planning",$I279="Blocked"),ROW(),""))</f>
        <v/>
      </c>
    </row>
    <row r="280" customFormat="false" ht="15" hidden="false" customHeight="false" outlineLevel="0" collapsed="false">
      <c r="B280" s="3"/>
      <c r="F280" s="3"/>
      <c r="G280" s="3"/>
      <c r="H280" s="3"/>
      <c r="I280" s="3"/>
      <c r="J280" s="37" t="str">
        <f aca="false">IF($A280="","",IFERROR(INDEX(Lists!$B$2:$B$10,MATCH($I280,Lists!$A$2:$A$10,0)),""))</f>
        <v/>
      </c>
      <c r="N280" s="0" t="str">
        <f aca="false">IF($A280="","",$L280-$K280+1)</f>
        <v/>
      </c>
      <c r="O280" s="39" t="str">
        <f aca="true">IF($A280="","",IF(OR($I280="Completed",$I280="Cancelled"),0,$L280-TODAY()))</f>
        <v/>
      </c>
      <c r="Q280" s="3"/>
      <c r="S280" s="0" t="str">
        <f aca="false">IF($A280="","",IF(AND($O280&lt;0,$I280&lt;&gt;"Completed",$I280&lt;&gt;"Cancelled"),1,0))</f>
        <v/>
      </c>
      <c r="T280" s="0" t="str">
        <f aca="false">IF($A280="","",IF($I280="Completed",ROW(),""))</f>
        <v/>
      </c>
      <c r="U280" s="0" t="str">
        <f aca="false">IF($A280="","",IF(OR($I280="Not Started",$I280="Planning",$I280="Blocked"),ROW(),""))</f>
        <v/>
      </c>
    </row>
    <row r="281" customFormat="false" ht="15" hidden="false" customHeight="false" outlineLevel="0" collapsed="false">
      <c r="B281" s="3"/>
      <c r="F281" s="3"/>
      <c r="G281" s="3"/>
      <c r="H281" s="3"/>
      <c r="I281" s="3"/>
      <c r="J281" s="37" t="str">
        <f aca="false">IF($A281="","",IFERROR(INDEX(Lists!$B$2:$B$10,MATCH($I281,Lists!$A$2:$A$10,0)),""))</f>
        <v/>
      </c>
      <c r="N281" s="0" t="str">
        <f aca="false">IF($A281="","",$L281-$K281+1)</f>
        <v/>
      </c>
      <c r="O281" s="39" t="str">
        <f aca="true">IF($A281="","",IF(OR($I281="Completed",$I281="Cancelled"),0,$L281-TODAY()))</f>
        <v/>
      </c>
      <c r="Q281" s="3"/>
      <c r="S281" s="0" t="str">
        <f aca="false">IF($A281="","",IF(AND($O281&lt;0,$I281&lt;&gt;"Completed",$I281&lt;&gt;"Cancelled"),1,0))</f>
        <v/>
      </c>
      <c r="T281" s="0" t="str">
        <f aca="false">IF($A281="","",IF($I281="Completed",ROW(),""))</f>
        <v/>
      </c>
      <c r="U281" s="0" t="str">
        <f aca="false">IF($A281="","",IF(OR($I281="Not Started",$I281="Planning",$I281="Blocked"),ROW(),""))</f>
        <v/>
      </c>
    </row>
    <row r="282" customFormat="false" ht="15" hidden="false" customHeight="false" outlineLevel="0" collapsed="false">
      <c r="B282" s="3"/>
      <c r="F282" s="3"/>
      <c r="G282" s="3"/>
      <c r="H282" s="3"/>
      <c r="I282" s="3"/>
      <c r="J282" s="37" t="str">
        <f aca="false">IF($A282="","",IFERROR(INDEX(Lists!$B$2:$B$10,MATCH($I282,Lists!$A$2:$A$10,0)),""))</f>
        <v/>
      </c>
      <c r="N282" s="0" t="str">
        <f aca="false">IF($A282="","",$L282-$K282+1)</f>
        <v/>
      </c>
      <c r="O282" s="39" t="str">
        <f aca="true">IF($A282="","",IF(OR($I282="Completed",$I282="Cancelled"),0,$L282-TODAY()))</f>
        <v/>
      </c>
      <c r="Q282" s="3"/>
      <c r="S282" s="0" t="str">
        <f aca="false">IF($A282="","",IF(AND($O282&lt;0,$I282&lt;&gt;"Completed",$I282&lt;&gt;"Cancelled"),1,0))</f>
        <v/>
      </c>
      <c r="T282" s="0" t="str">
        <f aca="false">IF($A282="","",IF($I282="Completed",ROW(),""))</f>
        <v/>
      </c>
      <c r="U282" s="0" t="str">
        <f aca="false">IF($A282="","",IF(OR($I282="Not Started",$I282="Planning",$I282="Blocked"),ROW(),""))</f>
        <v/>
      </c>
    </row>
    <row r="283" customFormat="false" ht="15" hidden="false" customHeight="false" outlineLevel="0" collapsed="false">
      <c r="B283" s="3"/>
      <c r="F283" s="3"/>
      <c r="G283" s="3"/>
      <c r="H283" s="3"/>
      <c r="I283" s="3"/>
      <c r="J283" s="37" t="str">
        <f aca="false">IF($A283="","",IFERROR(INDEX(Lists!$B$2:$B$10,MATCH($I283,Lists!$A$2:$A$10,0)),""))</f>
        <v/>
      </c>
      <c r="N283" s="0" t="str">
        <f aca="false">IF($A283="","",$L283-$K283+1)</f>
        <v/>
      </c>
      <c r="O283" s="39" t="str">
        <f aca="true">IF($A283="","",IF(OR($I283="Completed",$I283="Cancelled"),0,$L283-TODAY()))</f>
        <v/>
      </c>
      <c r="Q283" s="3"/>
      <c r="S283" s="0" t="str">
        <f aca="false">IF($A283="","",IF(AND($O283&lt;0,$I283&lt;&gt;"Completed",$I283&lt;&gt;"Cancelled"),1,0))</f>
        <v/>
      </c>
      <c r="T283" s="0" t="str">
        <f aca="false">IF($A283="","",IF($I283="Completed",ROW(),""))</f>
        <v/>
      </c>
      <c r="U283" s="0" t="str">
        <f aca="false">IF($A283="","",IF(OR($I283="Not Started",$I283="Planning",$I283="Blocked"),ROW(),""))</f>
        <v/>
      </c>
    </row>
    <row r="284" customFormat="false" ht="15" hidden="false" customHeight="false" outlineLevel="0" collapsed="false">
      <c r="B284" s="3"/>
      <c r="F284" s="3"/>
      <c r="G284" s="3"/>
      <c r="H284" s="3"/>
      <c r="I284" s="3"/>
      <c r="J284" s="37" t="str">
        <f aca="false">IF($A284="","",IFERROR(INDEX(Lists!$B$2:$B$10,MATCH($I284,Lists!$A$2:$A$10,0)),""))</f>
        <v/>
      </c>
      <c r="N284" s="0" t="str">
        <f aca="false">IF($A284="","",$L284-$K284+1)</f>
        <v/>
      </c>
      <c r="O284" s="39" t="str">
        <f aca="true">IF($A284="","",IF(OR($I284="Completed",$I284="Cancelled"),0,$L284-TODAY()))</f>
        <v/>
      </c>
      <c r="Q284" s="3"/>
      <c r="S284" s="0" t="str">
        <f aca="false">IF($A284="","",IF(AND($O284&lt;0,$I284&lt;&gt;"Completed",$I284&lt;&gt;"Cancelled"),1,0))</f>
        <v/>
      </c>
      <c r="T284" s="0" t="str">
        <f aca="false">IF($A284="","",IF($I284="Completed",ROW(),""))</f>
        <v/>
      </c>
      <c r="U284" s="0" t="str">
        <f aca="false">IF($A284="","",IF(OR($I284="Not Started",$I284="Planning",$I284="Blocked"),ROW(),""))</f>
        <v/>
      </c>
    </row>
    <row r="285" customFormat="false" ht="15" hidden="false" customHeight="false" outlineLevel="0" collapsed="false">
      <c r="B285" s="3"/>
      <c r="F285" s="3"/>
      <c r="G285" s="3"/>
      <c r="H285" s="3"/>
      <c r="I285" s="3"/>
      <c r="J285" s="37" t="str">
        <f aca="false">IF($A285="","",IFERROR(INDEX(Lists!$B$2:$B$10,MATCH($I285,Lists!$A$2:$A$10,0)),""))</f>
        <v/>
      </c>
      <c r="N285" s="0" t="str">
        <f aca="false">IF($A285="","",$L285-$K285+1)</f>
        <v/>
      </c>
      <c r="O285" s="39" t="str">
        <f aca="true">IF($A285="","",IF(OR($I285="Completed",$I285="Cancelled"),0,$L285-TODAY()))</f>
        <v/>
      </c>
      <c r="Q285" s="3"/>
      <c r="S285" s="0" t="str">
        <f aca="false">IF($A285="","",IF(AND($O285&lt;0,$I285&lt;&gt;"Completed",$I285&lt;&gt;"Cancelled"),1,0))</f>
        <v/>
      </c>
      <c r="T285" s="0" t="str">
        <f aca="false">IF($A285="","",IF($I285="Completed",ROW(),""))</f>
        <v/>
      </c>
      <c r="U285" s="0" t="str">
        <f aca="false">IF($A285="","",IF(OR($I285="Not Started",$I285="Planning",$I285="Blocked"),ROW(),""))</f>
        <v/>
      </c>
    </row>
    <row r="286" customFormat="false" ht="15" hidden="false" customHeight="false" outlineLevel="0" collapsed="false">
      <c r="B286" s="3"/>
      <c r="F286" s="3"/>
      <c r="G286" s="3"/>
      <c r="H286" s="3"/>
      <c r="I286" s="3"/>
      <c r="J286" s="37" t="str">
        <f aca="false">IF($A286="","",IFERROR(INDEX(Lists!$B$2:$B$10,MATCH($I286,Lists!$A$2:$A$10,0)),""))</f>
        <v/>
      </c>
      <c r="N286" s="0" t="str">
        <f aca="false">IF($A286="","",$L286-$K286+1)</f>
        <v/>
      </c>
      <c r="O286" s="39" t="str">
        <f aca="true">IF($A286="","",IF(OR($I286="Completed",$I286="Cancelled"),0,$L286-TODAY()))</f>
        <v/>
      </c>
      <c r="Q286" s="3"/>
      <c r="S286" s="0" t="str">
        <f aca="false">IF($A286="","",IF(AND($O286&lt;0,$I286&lt;&gt;"Completed",$I286&lt;&gt;"Cancelled"),1,0))</f>
        <v/>
      </c>
      <c r="T286" s="0" t="str">
        <f aca="false">IF($A286="","",IF($I286="Completed",ROW(),""))</f>
        <v/>
      </c>
      <c r="U286" s="0" t="str">
        <f aca="false">IF($A286="","",IF(OR($I286="Not Started",$I286="Planning",$I286="Blocked"),ROW(),""))</f>
        <v/>
      </c>
    </row>
    <row r="287" customFormat="false" ht="15" hidden="false" customHeight="false" outlineLevel="0" collapsed="false">
      <c r="B287" s="3"/>
      <c r="F287" s="3"/>
      <c r="G287" s="3"/>
      <c r="H287" s="3"/>
      <c r="I287" s="3"/>
      <c r="J287" s="37" t="str">
        <f aca="false">IF($A287="","",IFERROR(INDEX(Lists!$B$2:$B$10,MATCH($I287,Lists!$A$2:$A$10,0)),""))</f>
        <v/>
      </c>
      <c r="N287" s="0" t="str">
        <f aca="false">IF($A287="","",$L287-$K287+1)</f>
        <v/>
      </c>
      <c r="O287" s="39" t="str">
        <f aca="true">IF($A287="","",IF(OR($I287="Completed",$I287="Cancelled"),0,$L287-TODAY()))</f>
        <v/>
      </c>
      <c r="Q287" s="3"/>
      <c r="S287" s="0" t="str">
        <f aca="false">IF($A287="","",IF(AND($O287&lt;0,$I287&lt;&gt;"Completed",$I287&lt;&gt;"Cancelled"),1,0))</f>
        <v/>
      </c>
      <c r="T287" s="0" t="str">
        <f aca="false">IF($A287="","",IF($I287="Completed",ROW(),""))</f>
        <v/>
      </c>
      <c r="U287" s="0" t="str">
        <f aca="false">IF($A287="","",IF(OR($I287="Not Started",$I287="Planning",$I287="Blocked"),ROW(),""))</f>
        <v/>
      </c>
    </row>
    <row r="288" customFormat="false" ht="15" hidden="false" customHeight="false" outlineLevel="0" collapsed="false">
      <c r="B288" s="3"/>
      <c r="F288" s="3"/>
      <c r="G288" s="3"/>
      <c r="H288" s="3"/>
      <c r="I288" s="3"/>
      <c r="J288" s="37" t="str">
        <f aca="false">IF($A288="","",IFERROR(INDEX(Lists!$B$2:$B$10,MATCH($I288,Lists!$A$2:$A$10,0)),""))</f>
        <v/>
      </c>
      <c r="N288" s="0" t="str">
        <f aca="false">IF($A288="","",$L288-$K288+1)</f>
        <v/>
      </c>
      <c r="O288" s="39" t="str">
        <f aca="true">IF($A288="","",IF(OR($I288="Completed",$I288="Cancelled"),0,$L288-TODAY()))</f>
        <v/>
      </c>
      <c r="Q288" s="3"/>
      <c r="S288" s="0" t="str">
        <f aca="false">IF($A288="","",IF(AND($O288&lt;0,$I288&lt;&gt;"Completed",$I288&lt;&gt;"Cancelled"),1,0))</f>
        <v/>
      </c>
      <c r="T288" s="0" t="str">
        <f aca="false">IF($A288="","",IF($I288="Completed",ROW(),""))</f>
        <v/>
      </c>
      <c r="U288" s="0" t="str">
        <f aca="false">IF($A288="","",IF(OR($I288="Not Started",$I288="Planning",$I288="Blocked"),ROW(),""))</f>
        <v/>
      </c>
    </row>
    <row r="289" customFormat="false" ht="15" hidden="false" customHeight="false" outlineLevel="0" collapsed="false">
      <c r="B289" s="3"/>
      <c r="F289" s="3"/>
      <c r="G289" s="3"/>
      <c r="H289" s="3"/>
      <c r="I289" s="3"/>
      <c r="J289" s="37" t="str">
        <f aca="false">IF($A289="","",IFERROR(INDEX(Lists!$B$2:$B$10,MATCH($I289,Lists!$A$2:$A$10,0)),""))</f>
        <v/>
      </c>
      <c r="N289" s="0" t="str">
        <f aca="false">IF($A289="","",$L289-$K289+1)</f>
        <v/>
      </c>
      <c r="O289" s="39" t="str">
        <f aca="true">IF($A289="","",IF(OR($I289="Completed",$I289="Cancelled"),0,$L289-TODAY()))</f>
        <v/>
      </c>
      <c r="Q289" s="3"/>
      <c r="S289" s="0" t="str">
        <f aca="false">IF($A289="","",IF(AND($O289&lt;0,$I289&lt;&gt;"Completed",$I289&lt;&gt;"Cancelled"),1,0))</f>
        <v/>
      </c>
      <c r="T289" s="0" t="str">
        <f aca="false">IF($A289="","",IF($I289="Completed",ROW(),""))</f>
        <v/>
      </c>
      <c r="U289" s="0" t="str">
        <f aca="false">IF($A289="","",IF(OR($I289="Not Started",$I289="Planning",$I289="Blocked"),ROW(),""))</f>
        <v/>
      </c>
    </row>
    <row r="290" customFormat="false" ht="15" hidden="false" customHeight="false" outlineLevel="0" collapsed="false">
      <c r="B290" s="3"/>
      <c r="F290" s="3"/>
      <c r="G290" s="3"/>
      <c r="H290" s="3"/>
      <c r="I290" s="3"/>
      <c r="J290" s="37" t="str">
        <f aca="false">IF($A290="","",IFERROR(INDEX(Lists!$B$2:$B$10,MATCH($I290,Lists!$A$2:$A$10,0)),""))</f>
        <v/>
      </c>
      <c r="N290" s="0" t="str">
        <f aca="false">IF($A290="","",$L290-$K290+1)</f>
        <v/>
      </c>
      <c r="O290" s="39" t="str">
        <f aca="true">IF($A290="","",IF(OR($I290="Completed",$I290="Cancelled"),0,$L290-TODAY()))</f>
        <v/>
      </c>
      <c r="Q290" s="3"/>
      <c r="S290" s="0" t="str">
        <f aca="false">IF($A290="","",IF(AND($O290&lt;0,$I290&lt;&gt;"Completed",$I290&lt;&gt;"Cancelled"),1,0))</f>
        <v/>
      </c>
      <c r="T290" s="0" t="str">
        <f aca="false">IF($A290="","",IF($I290="Completed",ROW(),""))</f>
        <v/>
      </c>
      <c r="U290" s="0" t="str">
        <f aca="false">IF($A290="","",IF(OR($I290="Not Started",$I290="Planning",$I290="Blocked"),ROW(),""))</f>
        <v/>
      </c>
    </row>
    <row r="291" customFormat="false" ht="15" hidden="false" customHeight="false" outlineLevel="0" collapsed="false">
      <c r="B291" s="3"/>
      <c r="F291" s="3"/>
      <c r="G291" s="3"/>
      <c r="H291" s="3"/>
      <c r="I291" s="3"/>
      <c r="J291" s="37" t="str">
        <f aca="false">IF($A291="","",IFERROR(INDEX(Lists!$B$2:$B$10,MATCH($I291,Lists!$A$2:$A$10,0)),""))</f>
        <v/>
      </c>
      <c r="N291" s="0" t="str">
        <f aca="false">IF($A291="","",$L291-$K291+1)</f>
        <v/>
      </c>
      <c r="O291" s="39" t="str">
        <f aca="true">IF($A291="","",IF(OR($I291="Completed",$I291="Cancelled"),0,$L291-TODAY()))</f>
        <v/>
      </c>
      <c r="Q291" s="3"/>
      <c r="S291" s="0" t="str">
        <f aca="false">IF($A291="","",IF(AND($O291&lt;0,$I291&lt;&gt;"Completed",$I291&lt;&gt;"Cancelled"),1,0))</f>
        <v/>
      </c>
      <c r="T291" s="0" t="str">
        <f aca="false">IF($A291="","",IF($I291="Completed",ROW(),""))</f>
        <v/>
      </c>
      <c r="U291" s="0" t="str">
        <f aca="false">IF($A291="","",IF(OR($I291="Not Started",$I291="Planning",$I291="Blocked"),ROW(),""))</f>
        <v/>
      </c>
    </row>
    <row r="292" customFormat="false" ht="15" hidden="false" customHeight="false" outlineLevel="0" collapsed="false">
      <c r="B292" s="3"/>
      <c r="F292" s="3"/>
      <c r="G292" s="3"/>
      <c r="H292" s="3"/>
      <c r="I292" s="3"/>
      <c r="J292" s="37" t="str">
        <f aca="false">IF($A292="","",IFERROR(INDEX(Lists!$B$2:$B$10,MATCH($I292,Lists!$A$2:$A$10,0)),""))</f>
        <v/>
      </c>
      <c r="N292" s="0" t="str">
        <f aca="false">IF($A292="","",$L292-$K292+1)</f>
        <v/>
      </c>
      <c r="O292" s="39" t="str">
        <f aca="true">IF($A292="","",IF(OR($I292="Completed",$I292="Cancelled"),0,$L292-TODAY()))</f>
        <v/>
      </c>
      <c r="Q292" s="3"/>
      <c r="S292" s="0" t="str">
        <f aca="false">IF($A292="","",IF(AND($O292&lt;0,$I292&lt;&gt;"Completed",$I292&lt;&gt;"Cancelled"),1,0))</f>
        <v/>
      </c>
      <c r="T292" s="0" t="str">
        <f aca="false">IF($A292="","",IF($I292="Completed",ROW(),""))</f>
        <v/>
      </c>
      <c r="U292" s="0" t="str">
        <f aca="false">IF($A292="","",IF(OR($I292="Not Started",$I292="Planning",$I292="Blocked"),ROW(),""))</f>
        <v/>
      </c>
    </row>
    <row r="293" customFormat="false" ht="15" hidden="false" customHeight="false" outlineLevel="0" collapsed="false">
      <c r="B293" s="3"/>
      <c r="F293" s="3"/>
      <c r="G293" s="3"/>
      <c r="H293" s="3"/>
      <c r="I293" s="3"/>
      <c r="J293" s="37" t="str">
        <f aca="false">IF($A293="","",IFERROR(INDEX(Lists!$B$2:$B$10,MATCH($I293,Lists!$A$2:$A$10,0)),""))</f>
        <v/>
      </c>
      <c r="N293" s="0" t="str">
        <f aca="false">IF($A293="","",$L293-$K293+1)</f>
        <v/>
      </c>
      <c r="O293" s="39" t="str">
        <f aca="true">IF($A293="","",IF(OR($I293="Completed",$I293="Cancelled"),0,$L293-TODAY()))</f>
        <v/>
      </c>
      <c r="Q293" s="3"/>
      <c r="S293" s="0" t="str">
        <f aca="false">IF($A293="","",IF(AND($O293&lt;0,$I293&lt;&gt;"Completed",$I293&lt;&gt;"Cancelled"),1,0))</f>
        <v/>
      </c>
      <c r="T293" s="0" t="str">
        <f aca="false">IF($A293="","",IF($I293="Completed",ROW(),""))</f>
        <v/>
      </c>
      <c r="U293" s="0" t="str">
        <f aca="false">IF($A293="","",IF(OR($I293="Not Started",$I293="Planning",$I293="Blocked"),ROW(),""))</f>
        <v/>
      </c>
    </row>
    <row r="294" customFormat="false" ht="15" hidden="false" customHeight="false" outlineLevel="0" collapsed="false">
      <c r="B294" s="3"/>
      <c r="F294" s="3"/>
      <c r="G294" s="3"/>
      <c r="H294" s="3"/>
      <c r="I294" s="3"/>
      <c r="J294" s="37" t="str">
        <f aca="false">IF($A294="","",IFERROR(INDEX(Lists!$B$2:$B$10,MATCH($I294,Lists!$A$2:$A$10,0)),""))</f>
        <v/>
      </c>
      <c r="N294" s="0" t="str">
        <f aca="false">IF($A294="","",$L294-$K294+1)</f>
        <v/>
      </c>
      <c r="O294" s="39" t="str">
        <f aca="true">IF($A294="","",IF(OR($I294="Completed",$I294="Cancelled"),0,$L294-TODAY()))</f>
        <v/>
      </c>
      <c r="Q294" s="3"/>
      <c r="S294" s="0" t="str">
        <f aca="false">IF($A294="","",IF(AND($O294&lt;0,$I294&lt;&gt;"Completed",$I294&lt;&gt;"Cancelled"),1,0))</f>
        <v/>
      </c>
      <c r="T294" s="0" t="str">
        <f aca="false">IF($A294="","",IF($I294="Completed",ROW(),""))</f>
        <v/>
      </c>
      <c r="U294" s="0" t="str">
        <f aca="false">IF($A294="","",IF(OR($I294="Not Started",$I294="Planning",$I294="Blocked"),ROW(),""))</f>
        <v/>
      </c>
    </row>
    <row r="295" customFormat="false" ht="15" hidden="false" customHeight="false" outlineLevel="0" collapsed="false">
      <c r="B295" s="3"/>
      <c r="F295" s="3"/>
      <c r="G295" s="3"/>
      <c r="H295" s="3"/>
      <c r="I295" s="3"/>
      <c r="J295" s="37" t="str">
        <f aca="false">IF($A295="","",IFERROR(INDEX(Lists!$B$2:$B$10,MATCH($I295,Lists!$A$2:$A$10,0)),""))</f>
        <v/>
      </c>
      <c r="N295" s="0" t="str">
        <f aca="false">IF($A295="","",$L295-$K295+1)</f>
        <v/>
      </c>
      <c r="O295" s="39" t="str">
        <f aca="true">IF($A295="","",IF(OR($I295="Completed",$I295="Cancelled"),0,$L295-TODAY()))</f>
        <v/>
      </c>
      <c r="Q295" s="3"/>
      <c r="S295" s="0" t="str">
        <f aca="false">IF($A295="","",IF(AND($O295&lt;0,$I295&lt;&gt;"Completed",$I295&lt;&gt;"Cancelled"),1,0))</f>
        <v/>
      </c>
      <c r="T295" s="0" t="str">
        <f aca="false">IF($A295="","",IF($I295="Completed",ROW(),""))</f>
        <v/>
      </c>
      <c r="U295" s="0" t="str">
        <f aca="false">IF($A295="","",IF(OR($I295="Not Started",$I295="Planning",$I295="Blocked"),ROW(),""))</f>
        <v/>
      </c>
    </row>
    <row r="296" customFormat="false" ht="15" hidden="false" customHeight="false" outlineLevel="0" collapsed="false">
      <c r="B296" s="3"/>
      <c r="F296" s="3"/>
      <c r="G296" s="3"/>
      <c r="H296" s="3"/>
      <c r="I296" s="3"/>
      <c r="J296" s="37" t="str">
        <f aca="false">IF($A296="","",IFERROR(INDEX(Lists!$B$2:$B$10,MATCH($I296,Lists!$A$2:$A$10,0)),""))</f>
        <v/>
      </c>
      <c r="N296" s="0" t="str">
        <f aca="false">IF($A296="","",$L296-$K296+1)</f>
        <v/>
      </c>
      <c r="O296" s="39" t="str">
        <f aca="true">IF($A296="","",IF(OR($I296="Completed",$I296="Cancelled"),0,$L296-TODAY()))</f>
        <v/>
      </c>
      <c r="Q296" s="3"/>
      <c r="S296" s="0" t="str">
        <f aca="false">IF($A296="","",IF(AND($O296&lt;0,$I296&lt;&gt;"Completed",$I296&lt;&gt;"Cancelled"),1,0))</f>
        <v/>
      </c>
      <c r="T296" s="0" t="str">
        <f aca="false">IF($A296="","",IF($I296="Completed",ROW(),""))</f>
        <v/>
      </c>
      <c r="U296" s="0" t="str">
        <f aca="false">IF($A296="","",IF(OR($I296="Not Started",$I296="Planning",$I296="Blocked"),ROW(),""))</f>
        <v/>
      </c>
    </row>
    <row r="297" customFormat="false" ht="15" hidden="false" customHeight="false" outlineLevel="0" collapsed="false">
      <c r="B297" s="3"/>
      <c r="F297" s="3"/>
      <c r="G297" s="3"/>
      <c r="H297" s="3"/>
      <c r="I297" s="3"/>
      <c r="J297" s="37" t="str">
        <f aca="false">IF($A297="","",IFERROR(INDEX(Lists!$B$2:$B$10,MATCH($I297,Lists!$A$2:$A$10,0)),""))</f>
        <v/>
      </c>
      <c r="N297" s="0" t="str">
        <f aca="false">IF($A297="","",$L297-$K297+1)</f>
        <v/>
      </c>
      <c r="O297" s="39" t="str">
        <f aca="true">IF($A297="","",IF(OR($I297="Completed",$I297="Cancelled"),0,$L297-TODAY()))</f>
        <v/>
      </c>
      <c r="Q297" s="3"/>
      <c r="S297" s="0" t="str">
        <f aca="false">IF($A297="","",IF(AND($O297&lt;0,$I297&lt;&gt;"Completed",$I297&lt;&gt;"Cancelled"),1,0))</f>
        <v/>
      </c>
      <c r="T297" s="0" t="str">
        <f aca="false">IF($A297="","",IF($I297="Completed",ROW(),""))</f>
        <v/>
      </c>
      <c r="U297" s="0" t="str">
        <f aca="false">IF($A297="","",IF(OR($I297="Not Started",$I297="Planning",$I297="Blocked"),ROW(),""))</f>
        <v/>
      </c>
    </row>
    <row r="298" customFormat="false" ht="15" hidden="false" customHeight="false" outlineLevel="0" collapsed="false">
      <c r="B298" s="3"/>
      <c r="F298" s="3"/>
      <c r="G298" s="3"/>
      <c r="H298" s="3"/>
      <c r="I298" s="3"/>
      <c r="J298" s="37" t="str">
        <f aca="false">IF($A298="","",IFERROR(INDEX(Lists!$B$2:$B$10,MATCH($I298,Lists!$A$2:$A$10,0)),""))</f>
        <v/>
      </c>
      <c r="N298" s="0" t="str">
        <f aca="false">IF($A298="","",$L298-$K298+1)</f>
        <v/>
      </c>
      <c r="O298" s="39" t="str">
        <f aca="true">IF($A298="","",IF(OR($I298="Completed",$I298="Cancelled"),0,$L298-TODAY()))</f>
        <v/>
      </c>
      <c r="Q298" s="3"/>
      <c r="S298" s="0" t="str">
        <f aca="false">IF($A298="","",IF(AND($O298&lt;0,$I298&lt;&gt;"Completed",$I298&lt;&gt;"Cancelled"),1,0))</f>
        <v/>
      </c>
      <c r="T298" s="0" t="str">
        <f aca="false">IF($A298="","",IF($I298="Completed",ROW(),""))</f>
        <v/>
      </c>
      <c r="U298" s="0" t="str">
        <f aca="false">IF($A298="","",IF(OR($I298="Not Started",$I298="Planning",$I298="Blocked"),ROW(),""))</f>
        <v/>
      </c>
    </row>
    <row r="299" customFormat="false" ht="15" hidden="false" customHeight="false" outlineLevel="0" collapsed="false">
      <c r="B299" s="3"/>
      <c r="F299" s="3"/>
      <c r="G299" s="3"/>
      <c r="H299" s="3"/>
      <c r="I299" s="3"/>
      <c r="J299" s="37" t="str">
        <f aca="false">IF($A299="","",IFERROR(INDEX(Lists!$B$2:$B$10,MATCH($I299,Lists!$A$2:$A$10,0)),""))</f>
        <v/>
      </c>
      <c r="N299" s="0" t="str">
        <f aca="false">IF($A299="","",$L299-$K299+1)</f>
        <v/>
      </c>
      <c r="O299" s="39" t="str">
        <f aca="true">IF($A299="","",IF(OR($I299="Completed",$I299="Cancelled"),0,$L299-TODAY()))</f>
        <v/>
      </c>
      <c r="Q299" s="3"/>
      <c r="S299" s="0" t="str">
        <f aca="false">IF($A299="","",IF(AND($O299&lt;0,$I299&lt;&gt;"Completed",$I299&lt;&gt;"Cancelled"),1,0))</f>
        <v/>
      </c>
      <c r="T299" s="0" t="str">
        <f aca="false">IF($A299="","",IF($I299="Completed",ROW(),""))</f>
        <v/>
      </c>
      <c r="U299" s="0" t="str">
        <f aca="false">IF($A299="","",IF(OR($I299="Not Started",$I299="Planning",$I299="Blocked"),ROW(),""))</f>
        <v/>
      </c>
    </row>
    <row r="300" customFormat="false" ht="15" hidden="false" customHeight="false" outlineLevel="0" collapsed="false">
      <c r="B300" s="3"/>
      <c r="F300" s="3"/>
      <c r="G300" s="3"/>
      <c r="H300" s="3"/>
      <c r="I300" s="3"/>
      <c r="J300" s="37" t="str">
        <f aca="false">IF($A300="","",IFERROR(INDEX(Lists!$B$2:$B$10,MATCH($I300,Lists!$A$2:$A$10,0)),""))</f>
        <v/>
      </c>
      <c r="N300" s="0" t="str">
        <f aca="false">IF($A300="","",$L300-$K300+1)</f>
        <v/>
      </c>
      <c r="O300" s="39" t="str">
        <f aca="true">IF($A300="","",IF(OR($I300="Completed",$I300="Cancelled"),0,$L300-TODAY()))</f>
        <v/>
      </c>
      <c r="Q300" s="3"/>
      <c r="S300" s="0" t="str">
        <f aca="false">IF($A300="","",IF(AND($O300&lt;0,$I300&lt;&gt;"Completed",$I300&lt;&gt;"Cancelled"),1,0))</f>
        <v/>
      </c>
      <c r="T300" s="0" t="str">
        <f aca="false">IF($A300="","",IF($I300="Completed",ROW(),""))</f>
        <v/>
      </c>
      <c r="U300" s="0" t="str">
        <f aca="false">IF($A300="","",IF(OR($I300="Not Started",$I300="Planning",$I300="Blocked"),ROW(),""))</f>
        <v/>
      </c>
    </row>
    <row r="301" customFormat="false" ht="15" hidden="false" customHeight="false" outlineLevel="0" collapsed="false">
      <c r="B301" s="3"/>
      <c r="F301" s="3"/>
      <c r="G301" s="3"/>
      <c r="H301" s="3"/>
      <c r="I301" s="3"/>
      <c r="J301" s="37" t="str">
        <f aca="false">IF($A301="","",IFERROR(INDEX(Lists!$B$2:$B$10,MATCH($I301,Lists!$A$2:$A$10,0)),""))</f>
        <v/>
      </c>
      <c r="N301" s="0" t="str">
        <f aca="false">IF($A301="","",$L301-$K301+1)</f>
        <v/>
      </c>
      <c r="O301" s="39" t="str">
        <f aca="true">IF($A301="","",IF(OR($I301="Completed",$I301="Cancelled"),0,$L301-TODAY()))</f>
        <v/>
      </c>
      <c r="Q301" s="3"/>
      <c r="S301" s="0" t="str">
        <f aca="false">IF($A301="","",IF(AND($O301&lt;0,$I301&lt;&gt;"Completed",$I301&lt;&gt;"Cancelled"),1,0))</f>
        <v/>
      </c>
      <c r="T301" s="0" t="str">
        <f aca="false">IF($A301="","",IF($I301="Completed",ROW(),""))</f>
        <v/>
      </c>
      <c r="U301" s="0" t="str">
        <f aca="false">IF($A301="","",IF(OR($I301="Not Started",$I301="Planning",$I301="Blocked"),ROW(),""))</f>
        <v/>
      </c>
    </row>
    <row r="302" customFormat="false" ht="15" hidden="false" customHeight="false" outlineLevel="0" collapsed="false">
      <c r="B302" s="3"/>
      <c r="F302" s="3"/>
      <c r="G302" s="3"/>
      <c r="H302" s="3"/>
      <c r="I302" s="3"/>
      <c r="J302" s="37" t="str">
        <f aca="false">IF($A302="","",IFERROR(INDEX(Lists!$B$2:$B$10,MATCH($I302,Lists!$A$2:$A$10,0)),""))</f>
        <v/>
      </c>
      <c r="N302" s="0" t="str">
        <f aca="false">IF($A302="","",$L302-$K302+1)</f>
        <v/>
      </c>
      <c r="O302" s="39" t="str">
        <f aca="true">IF($A302="","",IF(OR($I302="Completed",$I302="Cancelled"),0,$L302-TODAY()))</f>
        <v/>
      </c>
      <c r="Q302" s="3"/>
      <c r="S302" s="0" t="str">
        <f aca="false">IF($A302="","",IF(AND($O302&lt;0,$I302&lt;&gt;"Completed",$I302&lt;&gt;"Cancelled"),1,0))</f>
        <v/>
      </c>
      <c r="T302" s="0" t="str">
        <f aca="false">IF($A302="","",IF($I302="Completed",ROW(),""))</f>
        <v/>
      </c>
      <c r="U302" s="0" t="str">
        <f aca="false">IF($A302="","",IF(OR($I302="Not Started",$I302="Planning",$I302="Blocked"),ROW(),""))</f>
        <v/>
      </c>
    </row>
    <row r="303" customFormat="false" ht="15" hidden="false" customHeight="false" outlineLevel="0" collapsed="false">
      <c r="B303" s="3"/>
      <c r="F303" s="3"/>
      <c r="G303" s="3"/>
      <c r="H303" s="3"/>
      <c r="I303" s="3"/>
      <c r="J303" s="37" t="str">
        <f aca="false">IF($A303="","",IFERROR(INDEX(Lists!$B$2:$B$10,MATCH($I303,Lists!$A$2:$A$10,0)),""))</f>
        <v/>
      </c>
      <c r="N303" s="0" t="str">
        <f aca="false">IF($A303="","",$L303-$K303+1)</f>
        <v/>
      </c>
      <c r="O303" s="39" t="str">
        <f aca="true">IF($A303="","",IF(OR($I303="Completed",$I303="Cancelled"),0,$L303-TODAY()))</f>
        <v/>
      </c>
      <c r="Q303" s="3"/>
      <c r="S303" s="0" t="str">
        <f aca="false">IF($A303="","",IF(AND($O303&lt;0,$I303&lt;&gt;"Completed",$I303&lt;&gt;"Cancelled"),1,0))</f>
        <v/>
      </c>
      <c r="T303" s="0" t="str">
        <f aca="false">IF($A303="","",IF($I303="Completed",ROW(),""))</f>
        <v/>
      </c>
      <c r="U303" s="0" t="str">
        <f aca="false">IF($A303="","",IF(OR($I303="Not Started",$I303="Planning",$I303="Blocked"),ROW(),""))</f>
        <v/>
      </c>
    </row>
    <row r="304" customFormat="false" ht="15" hidden="false" customHeight="false" outlineLevel="0" collapsed="false">
      <c r="B304" s="3"/>
      <c r="F304" s="3"/>
      <c r="G304" s="3"/>
      <c r="H304" s="3"/>
      <c r="I304" s="3"/>
      <c r="J304" s="37" t="str">
        <f aca="false">IF($A304="","",IFERROR(INDEX(Lists!$B$2:$B$10,MATCH($I304,Lists!$A$2:$A$10,0)),""))</f>
        <v/>
      </c>
      <c r="N304" s="0" t="str">
        <f aca="false">IF($A304="","",$L304-$K304+1)</f>
        <v/>
      </c>
      <c r="O304" s="39" t="str">
        <f aca="true">IF($A304="","",IF(OR($I304="Completed",$I304="Cancelled"),0,$L304-TODAY()))</f>
        <v/>
      </c>
      <c r="Q304" s="3"/>
      <c r="S304" s="0" t="str">
        <f aca="false">IF($A304="","",IF(AND($O304&lt;0,$I304&lt;&gt;"Completed",$I304&lt;&gt;"Cancelled"),1,0))</f>
        <v/>
      </c>
      <c r="T304" s="0" t="str">
        <f aca="false">IF($A304="","",IF($I304="Completed",ROW(),""))</f>
        <v/>
      </c>
      <c r="U304" s="0" t="str">
        <f aca="false">IF($A304="","",IF(OR($I304="Not Started",$I304="Planning",$I304="Blocked"),ROW(),""))</f>
        <v/>
      </c>
    </row>
    <row r="305" customFormat="false" ht="15" hidden="false" customHeight="false" outlineLevel="0" collapsed="false">
      <c r="B305" s="3"/>
      <c r="F305" s="3"/>
      <c r="G305" s="3"/>
      <c r="H305" s="3"/>
      <c r="I305" s="3"/>
      <c r="J305" s="37" t="str">
        <f aca="false">IF($A305="","",IFERROR(INDEX(Lists!$B$2:$B$10,MATCH($I305,Lists!$A$2:$A$10,0)),""))</f>
        <v/>
      </c>
      <c r="N305" s="0" t="str">
        <f aca="false">IF($A305="","",$L305-$K305+1)</f>
        <v/>
      </c>
      <c r="O305" s="39" t="str">
        <f aca="true">IF($A305="","",IF(OR($I305="Completed",$I305="Cancelled"),0,$L305-TODAY()))</f>
        <v/>
      </c>
      <c r="Q305" s="3"/>
      <c r="S305" s="0" t="str">
        <f aca="false">IF($A305="","",IF(AND($O305&lt;0,$I305&lt;&gt;"Completed",$I305&lt;&gt;"Cancelled"),1,0))</f>
        <v/>
      </c>
      <c r="T305" s="0" t="str">
        <f aca="false">IF($A305="","",IF($I305="Completed",ROW(),""))</f>
        <v/>
      </c>
      <c r="U305" s="0" t="str">
        <f aca="false">IF($A305="","",IF(OR($I305="Not Started",$I305="Planning",$I305="Blocked"),ROW(),""))</f>
        <v/>
      </c>
    </row>
    <row r="306" customFormat="false" ht="15" hidden="false" customHeight="false" outlineLevel="0" collapsed="false">
      <c r="B306" s="3"/>
      <c r="F306" s="3"/>
      <c r="G306" s="3"/>
      <c r="H306" s="3"/>
      <c r="I306" s="3"/>
      <c r="J306" s="37" t="str">
        <f aca="false">IF($A306="","",IFERROR(INDEX(Lists!$B$2:$B$10,MATCH($I306,Lists!$A$2:$A$10,0)),""))</f>
        <v/>
      </c>
      <c r="N306" s="0" t="str">
        <f aca="false">IF($A306="","",$L306-$K306+1)</f>
        <v/>
      </c>
      <c r="O306" s="39" t="str">
        <f aca="true">IF($A306="","",IF(OR($I306="Completed",$I306="Cancelled"),0,$L306-TODAY()))</f>
        <v/>
      </c>
      <c r="Q306" s="3"/>
      <c r="S306" s="0" t="str">
        <f aca="false">IF($A306="","",IF(AND($O306&lt;0,$I306&lt;&gt;"Completed",$I306&lt;&gt;"Cancelled"),1,0))</f>
        <v/>
      </c>
      <c r="T306" s="0" t="str">
        <f aca="false">IF($A306="","",IF($I306="Completed",ROW(),""))</f>
        <v/>
      </c>
      <c r="U306" s="0" t="str">
        <f aca="false">IF($A306="","",IF(OR($I306="Not Started",$I306="Planning",$I306="Blocked"),ROW(),""))</f>
        <v/>
      </c>
    </row>
    <row r="307" customFormat="false" ht="15" hidden="false" customHeight="false" outlineLevel="0" collapsed="false">
      <c r="B307" s="3"/>
      <c r="F307" s="3"/>
      <c r="G307" s="3"/>
      <c r="H307" s="3"/>
      <c r="I307" s="3"/>
      <c r="J307" s="37" t="str">
        <f aca="false">IF($A307="","",IFERROR(INDEX(Lists!$B$2:$B$10,MATCH($I307,Lists!$A$2:$A$10,0)),""))</f>
        <v/>
      </c>
      <c r="N307" s="0" t="str">
        <f aca="false">IF($A307="","",$L307-$K307+1)</f>
        <v/>
      </c>
      <c r="O307" s="39" t="str">
        <f aca="true">IF($A307="","",IF(OR($I307="Completed",$I307="Cancelled"),0,$L307-TODAY()))</f>
        <v/>
      </c>
      <c r="Q307" s="3"/>
      <c r="S307" s="0" t="str">
        <f aca="false">IF($A307="","",IF(AND($O307&lt;0,$I307&lt;&gt;"Completed",$I307&lt;&gt;"Cancelled"),1,0))</f>
        <v/>
      </c>
      <c r="T307" s="0" t="str">
        <f aca="false">IF($A307="","",IF($I307="Completed",ROW(),""))</f>
        <v/>
      </c>
      <c r="U307" s="0" t="str">
        <f aca="false">IF($A307="","",IF(OR($I307="Not Started",$I307="Planning",$I307="Blocked"),ROW(),""))</f>
        <v/>
      </c>
    </row>
    <row r="308" customFormat="false" ht="15" hidden="false" customHeight="false" outlineLevel="0" collapsed="false">
      <c r="B308" s="3"/>
      <c r="F308" s="3"/>
      <c r="G308" s="3"/>
      <c r="H308" s="3"/>
      <c r="I308" s="3"/>
      <c r="J308" s="37" t="str">
        <f aca="false">IF($A308="","",IFERROR(INDEX(Lists!$B$2:$B$10,MATCH($I308,Lists!$A$2:$A$10,0)),""))</f>
        <v/>
      </c>
      <c r="N308" s="0" t="str">
        <f aca="false">IF($A308="","",$L308-$K308+1)</f>
        <v/>
      </c>
      <c r="O308" s="39" t="str">
        <f aca="true">IF($A308="","",IF(OR($I308="Completed",$I308="Cancelled"),0,$L308-TODAY()))</f>
        <v/>
      </c>
      <c r="Q308" s="3"/>
      <c r="S308" s="0" t="str">
        <f aca="false">IF($A308="","",IF(AND($O308&lt;0,$I308&lt;&gt;"Completed",$I308&lt;&gt;"Cancelled"),1,0))</f>
        <v/>
      </c>
      <c r="T308" s="0" t="str">
        <f aca="false">IF($A308="","",IF($I308="Completed",ROW(),""))</f>
        <v/>
      </c>
      <c r="U308" s="0" t="str">
        <f aca="false">IF($A308="","",IF(OR($I308="Not Started",$I308="Planning",$I308="Blocked"),ROW(),""))</f>
        <v/>
      </c>
    </row>
    <row r="309" customFormat="false" ht="15" hidden="false" customHeight="false" outlineLevel="0" collapsed="false">
      <c r="B309" s="3"/>
      <c r="F309" s="3"/>
      <c r="G309" s="3"/>
      <c r="H309" s="3"/>
      <c r="I309" s="3"/>
      <c r="J309" s="37" t="str">
        <f aca="false">IF($A309="","",IFERROR(INDEX(Lists!$B$2:$B$10,MATCH($I309,Lists!$A$2:$A$10,0)),""))</f>
        <v/>
      </c>
      <c r="N309" s="0" t="str">
        <f aca="false">IF($A309="","",$L309-$K309+1)</f>
        <v/>
      </c>
      <c r="O309" s="39" t="str">
        <f aca="true">IF($A309="","",IF(OR($I309="Completed",$I309="Cancelled"),0,$L309-TODAY()))</f>
        <v/>
      </c>
      <c r="Q309" s="3"/>
      <c r="S309" s="0" t="str">
        <f aca="false">IF($A309="","",IF(AND($O309&lt;0,$I309&lt;&gt;"Completed",$I309&lt;&gt;"Cancelled"),1,0))</f>
        <v/>
      </c>
      <c r="T309" s="0" t="str">
        <f aca="false">IF($A309="","",IF($I309="Completed",ROW(),""))</f>
        <v/>
      </c>
      <c r="U309" s="0" t="str">
        <f aca="false">IF($A309="","",IF(OR($I309="Not Started",$I309="Planning",$I309="Blocked"),ROW(),""))</f>
        <v/>
      </c>
    </row>
    <row r="310" customFormat="false" ht="15" hidden="false" customHeight="false" outlineLevel="0" collapsed="false">
      <c r="B310" s="3"/>
      <c r="F310" s="3"/>
      <c r="G310" s="3"/>
      <c r="H310" s="3"/>
      <c r="I310" s="3"/>
      <c r="J310" s="37" t="str">
        <f aca="false">IF($A310="","",IFERROR(INDEX(Lists!$B$2:$B$10,MATCH($I310,Lists!$A$2:$A$10,0)),""))</f>
        <v/>
      </c>
      <c r="N310" s="0" t="str">
        <f aca="false">IF($A310="","",$L310-$K310+1)</f>
        <v/>
      </c>
      <c r="O310" s="39" t="str">
        <f aca="true">IF($A310="","",IF(OR($I310="Completed",$I310="Cancelled"),0,$L310-TODAY()))</f>
        <v/>
      </c>
      <c r="Q310" s="3"/>
      <c r="S310" s="0" t="str">
        <f aca="false">IF($A310="","",IF(AND($O310&lt;0,$I310&lt;&gt;"Completed",$I310&lt;&gt;"Cancelled"),1,0))</f>
        <v/>
      </c>
      <c r="T310" s="0" t="str">
        <f aca="false">IF($A310="","",IF($I310="Completed",ROW(),""))</f>
        <v/>
      </c>
      <c r="U310" s="0" t="str">
        <f aca="false">IF($A310="","",IF(OR($I310="Not Started",$I310="Planning",$I310="Blocked"),ROW(),""))</f>
        <v/>
      </c>
    </row>
    <row r="311" customFormat="false" ht="15" hidden="false" customHeight="false" outlineLevel="0" collapsed="false">
      <c r="B311" s="3"/>
      <c r="F311" s="3"/>
      <c r="G311" s="3"/>
      <c r="H311" s="3"/>
      <c r="I311" s="3"/>
      <c r="J311" s="37" t="str">
        <f aca="false">IF($A311="","",IFERROR(INDEX(Lists!$B$2:$B$10,MATCH($I311,Lists!$A$2:$A$10,0)),""))</f>
        <v/>
      </c>
      <c r="N311" s="0" t="str">
        <f aca="false">IF($A311="","",$L311-$K311+1)</f>
        <v/>
      </c>
      <c r="O311" s="39" t="str">
        <f aca="true">IF($A311="","",IF(OR($I311="Completed",$I311="Cancelled"),0,$L311-TODAY()))</f>
        <v/>
      </c>
      <c r="Q311" s="3"/>
      <c r="S311" s="0" t="str">
        <f aca="false">IF($A311="","",IF(AND($O311&lt;0,$I311&lt;&gt;"Completed",$I311&lt;&gt;"Cancelled"),1,0))</f>
        <v/>
      </c>
      <c r="T311" s="0" t="str">
        <f aca="false">IF($A311="","",IF($I311="Completed",ROW(),""))</f>
        <v/>
      </c>
      <c r="U311" s="0" t="str">
        <f aca="false">IF($A311="","",IF(OR($I311="Not Started",$I311="Planning",$I311="Blocked"),ROW(),""))</f>
        <v/>
      </c>
    </row>
    <row r="312" customFormat="false" ht="15" hidden="false" customHeight="false" outlineLevel="0" collapsed="false">
      <c r="B312" s="3"/>
      <c r="F312" s="3"/>
      <c r="G312" s="3"/>
      <c r="H312" s="3"/>
      <c r="I312" s="3"/>
      <c r="J312" s="37" t="str">
        <f aca="false">IF($A312="","",IFERROR(INDEX(Lists!$B$2:$B$10,MATCH($I312,Lists!$A$2:$A$10,0)),""))</f>
        <v/>
      </c>
      <c r="N312" s="0" t="str">
        <f aca="false">IF($A312="","",$L312-$K312+1)</f>
        <v/>
      </c>
      <c r="O312" s="39" t="str">
        <f aca="true">IF($A312="","",IF(OR($I312="Completed",$I312="Cancelled"),0,$L312-TODAY()))</f>
        <v/>
      </c>
      <c r="Q312" s="3"/>
      <c r="S312" s="0" t="str">
        <f aca="false">IF($A312="","",IF(AND($O312&lt;0,$I312&lt;&gt;"Completed",$I312&lt;&gt;"Cancelled"),1,0))</f>
        <v/>
      </c>
      <c r="T312" s="0" t="str">
        <f aca="false">IF($A312="","",IF($I312="Completed",ROW(),""))</f>
        <v/>
      </c>
      <c r="U312" s="0" t="str">
        <f aca="false">IF($A312="","",IF(OR($I312="Not Started",$I312="Planning",$I312="Blocked"),ROW(),""))</f>
        <v/>
      </c>
    </row>
    <row r="313" customFormat="false" ht="15" hidden="false" customHeight="false" outlineLevel="0" collapsed="false">
      <c r="B313" s="3"/>
      <c r="F313" s="3"/>
      <c r="G313" s="3"/>
      <c r="H313" s="3"/>
      <c r="I313" s="3"/>
      <c r="J313" s="37" t="str">
        <f aca="false">IF($A313="","",IFERROR(INDEX(Lists!$B$2:$B$10,MATCH($I313,Lists!$A$2:$A$10,0)),""))</f>
        <v/>
      </c>
      <c r="N313" s="0" t="str">
        <f aca="false">IF($A313="","",$L313-$K313+1)</f>
        <v/>
      </c>
      <c r="O313" s="39" t="str">
        <f aca="true">IF($A313="","",IF(OR($I313="Completed",$I313="Cancelled"),0,$L313-TODAY()))</f>
        <v/>
      </c>
      <c r="Q313" s="3"/>
      <c r="S313" s="0" t="str">
        <f aca="false">IF($A313="","",IF(AND($O313&lt;0,$I313&lt;&gt;"Completed",$I313&lt;&gt;"Cancelled"),1,0))</f>
        <v/>
      </c>
      <c r="T313" s="0" t="str">
        <f aca="false">IF($A313="","",IF($I313="Completed",ROW(),""))</f>
        <v/>
      </c>
      <c r="U313" s="0" t="str">
        <f aca="false">IF($A313="","",IF(OR($I313="Not Started",$I313="Planning",$I313="Blocked"),ROW(),""))</f>
        <v/>
      </c>
    </row>
    <row r="314" customFormat="false" ht="15" hidden="false" customHeight="false" outlineLevel="0" collapsed="false">
      <c r="B314" s="3"/>
      <c r="F314" s="3"/>
      <c r="G314" s="3"/>
      <c r="H314" s="3"/>
      <c r="I314" s="3"/>
      <c r="J314" s="37" t="str">
        <f aca="false">IF($A314="","",IFERROR(INDEX(Lists!$B$2:$B$10,MATCH($I314,Lists!$A$2:$A$10,0)),""))</f>
        <v/>
      </c>
      <c r="N314" s="0" t="str">
        <f aca="false">IF($A314="","",$L314-$K314+1)</f>
        <v/>
      </c>
      <c r="O314" s="39" t="str">
        <f aca="true">IF($A314="","",IF(OR($I314="Completed",$I314="Cancelled"),0,$L314-TODAY()))</f>
        <v/>
      </c>
      <c r="Q314" s="3"/>
      <c r="S314" s="0" t="str">
        <f aca="false">IF($A314="","",IF(AND($O314&lt;0,$I314&lt;&gt;"Completed",$I314&lt;&gt;"Cancelled"),1,0))</f>
        <v/>
      </c>
      <c r="T314" s="0" t="str">
        <f aca="false">IF($A314="","",IF($I314="Completed",ROW(),""))</f>
        <v/>
      </c>
      <c r="U314" s="0" t="str">
        <f aca="false">IF($A314="","",IF(OR($I314="Not Started",$I314="Planning",$I314="Blocked"),ROW(),""))</f>
        <v/>
      </c>
    </row>
    <row r="315" customFormat="false" ht="15" hidden="false" customHeight="false" outlineLevel="0" collapsed="false">
      <c r="B315" s="3"/>
      <c r="F315" s="3"/>
      <c r="G315" s="3"/>
      <c r="H315" s="3"/>
      <c r="I315" s="3"/>
      <c r="J315" s="37" t="str">
        <f aca="false">IF($A315="","",IFERROR(INDEX(Lists!$B$2:$B$10,MATCH($I315,Lists!$A$2:$A$10,0)),""))</f>
        <v/>
      </c>
      <c r="N315" s="0" t="str">
        <f aca="false">IF($A315="","",$L315-$K315+1)</f>
        <v/>
      </c>
      <c r="O315" s="39" t="str">
        <f aca="true">IF($A315="","",IF(OR($I315="Completed",$I315="Cancelled"),0,$L315-TODAY()))</f>
        <v/>
      </c>
      <c r="Q315" s="3"/>
      <c r="S315" s="0" t="str">
        <f aca="false">IF($A315="","",IF(AND($O315&lt;0,$I315&lt;&gt;"Completed",$I315&lt;&gt;"Cancelled"),1,0))</f>
        <v/>
      </c>
      <c r="T315" s="0" t="str">
        <f aca="false">IF($A315="","",IF($I315="Completed",ROW(),""))</f>
        <v/>
      </c>
      <c r="U315" s="0" t="str">
        <f aca="false">IF($A315="","",IF(OR($I315="Not Started",$I315="Planning",$I315="Blocked"),ROW(),""))</f>
        <v/>
      </c>
    </row>
    <row r="316" customFormat="false" ht="15" hidden="false" customHeight="false" outlineLevel="0" collapsed="false">
      <c r="B316" s="3"/>
      <c r="F316" s="3"/>
      <c r="G316" s="3"/>
      <c r="H316" s="3"/>
      <c r="I316" s="3"/>
      <c r="J316" s="37" t="str">
        <f aca="false">IF($A316="","",IFERROR(INDEX(Lists!$B$2:$B$10,MATCH($I316,Lists!$A$2:$A$10,0)),""))</f>
        <v/>
      </c>
      <c r="N316" s="0" t="str">
        <f aca="false">IF($A316="","",$L316-$K316+1)</f>
        <v/>
      </c>
      <c r="O316" s="39" t="str">
        <f aca="true">IF($A316="","",IF(OR($I316="Completed",$I316="Cancelled"),0,$L316-TODAY()))</f>
        <v/>
      </c>
      <c r="Q316" s="3"/>
      <c r="S316" s="0" t="str">
        <f aca="false">IF($A316="","",IF(AND($O316&lt;0,$I316&lt;&gt;"Completed",$I316&lt;&gt;"Cancelled"),1,0))</f>
        <v/>
      </c>
      <c r="T316" s="0" t="str">
        <f aca="false">IF($A316="","",IF($I316="Completed",ROW(),""))</f>
        <v/>
      </c>
      <c r="U316" s="0" t="str">
        <f aca="false">IF($A316="","",IF(OR($I316="Not Started",$I316="Planning",$I316="Blocked"),ROW(),""))</f>
        <v/>
      </c>
    </row>
    <row r="317" customFormat="false" ht="15" hidden="false" customHeight="false" outlineLevel="0" collapsed="false">
      <c r="B317" s="3"/>
      <c r="F317" s="3"/>
      <c r="G317" s="3"/>
      <c r="H317" s="3"/>
      <c r="I317" s="3"/>
      <c r="J317" s="37" t="str">
        <f aca="false">IF($A317="","",IFERROR(INDEX(Lists!$B$2:$B$10,MATCH($I317,Lists!$A$2:$A$10,0)),""))</f>
        <v/>
      </c>
      <c r="N317" s="0" t="str">
        <f aca="false">IF($A317="","",$L317-$K317+1)</f>
        <v/>
      </c>
      <c r="O317" s="39" t="str">
        <f aca="true">IF($A317="","",IF(OR($I317="Completed",$I317="Cancelled"),0,$L317-TODAY()))</f>
        <v/>
      </c>
      <c r="Q317" s="3"/>
      <c r="S317" s="0" t="str">
        <f aca="false">IF($A317="","",IF(AND($O317&lt;0,$I317&lt;&gt;"Completed",$I317&lt;&gt;"Cancelled"),1,0))</f>
        <v/>
      </c>
      <c r="T317" s="0" t="str">
        <f aca="false">IF($A317="","",IF($I317="Completed",ROW(),""))</f>
        <v/>
      </c>
      <c r="U317" s="0" t="str">
        <f aca="false">IF($A317="","",IF(OR($I317="Not Started",$I317="Planning",$I317="Blocked"),ROW(),""))</f>
        <v/>
      </c>
    </row>
    <row r="318" customFormat="false" ht="15" hidden="false" customHeight="false" outlineLevel="0" collapsed="false">
      <c r="B318" s="3"/>
      <c r="F318" s="3"/>
      <c r="G318" s="3"/>
      <c r="H318" s="3"/>
      <c r="I318" s="3"/>
      <c r="J318" s="37" t="str">
        <f aca="false">IF($A318="","",IFERROR(INDEX(Lists!$B$2:$B$10,MATCH($I318,Lists!$A$2:$A$10,0)),""))</f>
        <v/>
      </c>
      <c r="N318" s="0" t="str">
        <f aca="false">IF($A318="","",$L318-$K318+1)</f>
        <v/>
      </c>
      <c r="O318" s="39" t="str">
        <f aca="true">IF($A318="","",IF(OR($I318="Completed",$I318="Cancelled"),0,$L318-TODAY()))</f>
        <v/>
      </c>
      <c r="Q318" s="3"/>
      <c r="S318" s="0" t="str">
        <f aca="false">IF($A318="","",IF(AND($O318&lt;0,$I318&lt;&gt;"Completed",$I318&lt;&gt;"Cancelled"),1,0))</f>
        <v/>
      </c>
      <c r="T318" s="0" t="str">
        <f aca="false">IF($A318="","",IF($I318="Completed",ROW(),""))</f>
        <v/>
      </c>
      <c r="U318" s="0" t="str">
        <f aca="false">IF($A318="","",IF(OR($I318="Not Started",$I318="Planning",$I318="Blocked"),ROW(),""))</f>
        <v/>
      </c>
    </row>
    <row r="319" customFormat="false" ht="15" hidden="false" customHeight="false" outlineLevel="0" collapsed="false">
      <c r="B319" s="3"/>
      <c r="F319" s="3"/>
      <c r="G319" s="3"/>
      <c r="H319" s="3"/>
      <c r="I319" s="3"/>
      <c r="J319" s="37" t="str">
        <f aca="false">IF($A319="","",IFERROR(INDEX(Lists!$B$2:$B$10,MATCH($I319,Lists!$A$2:$A$10,0)),""))</f>
        <v/>
      </c>
      <c r="N319" s="0" t="str">
        <f aca="false">IF($A319="","",$L319-$K319+1)</f>
        <v/>
      </c>
      <c r="O319" s="39" t="str">
        <f aca="true">IF($A319="","",IF(OR($I319="Completed",$I319="Cancelled"),0,$L319-TODAY()))</f>
        <v/>
      </c>
      <c r="Q319" s="3"/>
      <c r="S319" s="0" t="str">
        <f aca="false">IF($A319="","",IF(AND($O319&lt;0,$I319&lt;&gt;"Completed",$I319&lt;&gt;"Cancelled"),1,0))</f>
        <v/>
      </c>
      <c r="T319" s="0" t="str">
        <f aca="false">IF($A319="","",IF($I319="Completed",ROW(),""))</f>
        <v/>
      </c>
      <c r="U319" s="0" t="str">
        <f aca="false">IF($A319="","",IF(OR($I319="Not Started",$I319="Planning",$I319="Blocked"),ROW(),""))</f>
        <v/>
      </c>
    </row>
    <row r="320" customFormat="false" ht="15" hidden="false" customHeight="false" outlineLevel="0" collapsed="false">
      <c r="B320" s="3"/>
      <c r="F320" s="3"/>
      <c r="G320" s="3"/>
      <c r="H320" s="3"/>
      <c r="I320" s="3"/>
      <c r="J320" s="37" t="str">
        <f aca="false">IF($A320="","",IFERROR(INDEX(Lists!$B$2:$B$10,MATCH($I320,Lists!$A$2:$A$10,0)),""))</f>
        <v/>
      </c>
      <c r="N320" s="0" t="str">
        <f aca="false">IF($A320="","",$L320-$K320+1)</f>
        <v/>
      </c>
      <c r="O320" s="39" t="str">
        <f aca="true">IF($A320="","",IF(OR($I320="Completed",$I320="Cancelled"),0,$L320-TODAY()))</f>
        <v/>
      </c>
      <c r="Q320" s="3"/>
      <c r="S320" s="0" t="str">
        <f aca="false">IF($A320="","",IF(AND($O320&lt;0,$I320&lt;&gt;"Completed",$I320&lt;&gt;"Cancelled"),1,0))</f>
        <v/>
      </c>
      <c r="T320" s="0" t="str">
        <f aca="false">IF($A320="","",IF($I320="Completed",ROW(),""))</f>
        <v/>
      </c>
      <c r="U320" s="0" t="str">
        <f aca="false">IF($A320="","",IF(OR($I320="Not Started",$I320="Planning",$I320="Blocked"),ROW(),""))</f>
        <v/>
      </c>
    </row>
    <row r="321" customFormat="false" ht="15" hidden="false" customHeight="false" outlineLevel="0" collapsed="false">
      <c r="B321" s="3"/>
      <c r="F321" s="3"/>
      <c r="G321" s="3"/>
      <c r="H321" s="3"/>
      <c r="I321" s="3"/>
      <c r="J321" s="37" t="str">
        <f aca="false">IF($A321="","",IFERROR(INDEX(Lists!$B$2:$B$10,MATCH($I321,Lists!$A$2:$A$10,0)),""))</f>
        <v/>
      </c>
      <c r="N321" s="0" t="str">
        <f aca="false">IF($A321="","",$L321-$K321+1)</f>
        <v/>
      </c>
      <c r="O321" s="39" t="str">
        <f aca="true">IF($A321="","",IF(OR($I321="Completed",$I321="Cancelled"),0,$L321-TODAY()))</f>
        <v/>
      </c>
      <c r="Q321" s="3"/>
      <c r="S321" s="0" t="str">
        <f aca="false">IF($A321="","",IF(AND($O321&lt;0,$I321&lt;&gt;"Completed",$I321&lt;&gt;"Cancelled"),1,0))</f>
        <v/>
      </c>
      <c r="T321" s="0" t="str">
        <f aca="false">IF($A321="","",IF($I321="Completed",ROW(),""))</f>
        <v/>
      </c>
      <c r="U321" s="0" t="str">
        <f aca="false">IF($A321="","",IF(OR($I321="Not Started",$I321="Planning",$I321="Blocked"),ROW(),""))</f>
        <v/>
      </c>
    </row>
    <row r="322" customFormat="false" ht="15" hidden="false" customHeight="false" outlineLevel="0" collapsed="false">
      <c r="B322" s="3"/>
      <c r="F322" s="3"/>
      <c r="G322" s="3"/>
      <c r="H322" s="3"/>
      <c r="I322" s="3"/>
      <c r="J322" s="37" t="str">
        <f aca="false">IF($A322="","",IFERROR(INDEX(Lists!$B$2:$B$10,MATCH($I322,Lists!$A$2:$A$10,0)),""))</f>
        <v/>
      </c>
      <c r="N322" s="0" t="str">
        <f aca="false">IF($A322="","",$L322-$K322+1)</f>
        <v/>
      </c>
      <c r="O322" s="39" t="str">
        <f aca="true">IF($A322="","",IF(OR($I322="Completed",$I322="Cancelled"),0,$L322-TODAY()))</f>
        <v/>
      </c>
      <c r="Q322" s="3"/>
      <c r="S322" s="0" t="str">
        <f aca="false">IF($A322="","",IF(AND($O322&lt;0,$I322&lt;&gt;"Completed",$I322&lt;&gt;"Cancelled"),1,0))</f>
        <v/>
      </c>
      <c r="T322" s="0" t="str">
        <f aca="false">IF($A322="","",IF($I322="Completed",ROW(),""))</f>
        <v/>
      </c>
      <c r="U322" s="0" t="str">
        <f aca="false">IF($A322="","",IF(OR($I322="Not Started",$I322="Planning",$I322="Blocked"),ROW(),""))</f>
        <v/>
      </c>
    </row>
    <row r="323" customFormat="false" ht="15" hidden="false" customHeight="false" outlineLevel="0" collapsed="false">
      <c r="B323" s="3"/>
      <c r="F323" s="3"/>
      <c r="G323" s="3"/>
      <c r="H323" s="3"/>
      <c r="I323" s="3"/>
      <c r="J323" s="37" t="str">
        <f aca="false">IF($A323="","",IFERROR(INDEX(Lists!$B$2:$B$10,MATCH($I323,Lists!$A$2:$A$10,0)),""))</f>
        <v/>
      </c>
      <c r="N323" s="0" t="str">
        <f aca="false">IF($A323="","",$L323-$K323+1)</f>
        <v/>
      </c>
      <c r="O323" s="39" t="str">
        <f aca="true">IF($A323="","",IF(OR($I323="Completed",$I323="Cancelled"),0,$L323-TODAY()))</f>
        <v/>
      </c>
      <c r="Q323" s="3"/>
      <c r="S323" s="0" t="str">
        <f aca="false">IF($A323="","",IF(AND($O323&lt;0,$I323&lt;&gt;"Completed",$I323&lt;&gt;"Cancelled"),1,0))</f>
        <v/>
      </c>
      <c r="T323" s="0" t="str">
        <f aca="false">IF($A323="","",IF($I323="Completed",ROW(),""))</f>
        <v/>
      </c>
      <c r="U323" s="0" t="str">
        <f aca="false">IF($A323="","",IF(OR($I323="Not Started",$I323="Planning",$I323="Blocked"),ROW(),""))</f>
        <v/>
      </c>
    </row>
    <row r="324" customFormat="false" ht="15" hidden="false" customHeight="false" outlineLevel="0" collapsed="false">
      <c r="B324" s="3"/>
      <c r="F324" s="3"/>
      <c r="G324" s="3"/>
      <c r="H324" s="3"/>
      <c r="I324" s="3"/>
      <c r="J324" s="37" t="str">
        <f aca="false">IF($A324="","",IFERROR(INDEX(Lists!$B$2:$B$10,MATCH($I324,Lists!$A$2:$A$10,0)),""))</f>
        <v/>
      </c>
      <c r="N324" s="0" t="str">
        <f aca="false">IF($A324="","",$L324-$K324+1)</f>
        <v/>
      </c>
      <c r="O324" s="39" t="str">
        <f aca="true">IF($A324="","",IF(OR($I324="Completed",$I324="Cancelled"),0,$L324-TODAY()))</f>
        <v/>
      </c>
      <c r="Q324" s="3"/>
      <c r="S324" s="0" t="str">
        <f aca="false">IF($A324="","",IF(AND($O324&lt;0,$I324&lt;&gt;"Completed",$I324&lt;&gt;"Cancelled"),1,0))</f>
        <v/>
      </c>
      <c r="T324" s="0" t="str">
        <f aca="false">IF($A324="","",IF($I324="Completed",ROW(),""))</f>
        <v/>
      </c>
      <c r="U324" s="0" t="str">
        <f aca="false">IF($A324="","",IF(OR($I324="Not Started",$I324="Planning",$I324="Blocked"),ROW(),""))</f>
        <v/>
      </c>
    </row>
    <row r="325" customFormat="false" ht="15" hidden="false" customHeight="false" outlineLevel="0" collapsed="false">
      <c r="B325" s="3"/>
      <c r="F325" s="3"/>
      <c r="G325" s="3"/>
      <c r="H325" s="3"/>
      <c r="I325" s="3"/>
      <c r="J325" s="37" t="str">
        <f aca="false">IF($A325="","",IFERROR(INDEX(Lists!$B$2:$B$10,MATCH($I325,Lists!$A$2:$A$10,0)),""))</f>
        <v/>
      </c>
      <c r="N325" s="0" t="str">
        <f aca="false">IF($A325="","",$L325-$K325+1)</f>
        <v/>
      </c>
      <c r="O325" s="39" t="str">
        <f aca="true">IF($A325="","",IF(OR($I325="Completed",$I325="Cancelled"),0,$L325-TODAY()))</f>
        <v/>
      </c>
      <c r="Q325" s="3"/>
      <c r="S325" s="0" t="str">
        <f aca="false">IF($A325="","",IF(AND($O325&lt;0,$I325&lt;&gt;"Completed",$I325&lt;&gt;"Cancelled"),1,0))</f>
        <v/>
      </c>
      <c r="T325" s="0" t="str">
        <f aca="false">IF($A325="","",IF($I325="Completed",ROW(),""))</f>
        <v/>
      </c>
      <c r="U325" s="0" t="str">
        <f aca="false">IF($A325="","",IF(OR($I325="Not Started",$I325="Planning",$I325="Blocked"),ROW(),""))</f>
        <v/>
      </c>
    </row>
    <row r="326" customFormat="false" ht="15" hidden="false" customHeight="false" outlineLevel="0" collapsed="false">
      <c r="B326" s="3"/>
      <c r="F326" s="3"/>
      <c r="G326" s="3"/>
      <c r="H326" s="3"/>
      <c r="I326" s="3"/>
      <c r="J326" s="37" t="str">
        <f aca="false">IF($A326="","",IFERROR(INDEX(Lists!$B$2:$B$10,MATCH($I326,Lists!$A$2:$A$10,0)),""))</f>
        <v/>
      </c>
      <c r="N326" s="0" t="str">
        <f aca="false">IF($A326="","",$L326-$K326+1)</f>
        <v/>
      </c>
      <c r="O326" s="39" t="str">
        <f aca="true">IF($A326="","",IF(OR($I326="Completed",$I326="Cancelled"),0,$L326-TODAY()))</f>
        <v/>
      </c>
      <c r="Q326" s="3"/>
      <c r="S326" s="0" t="str">
        <f aca="false">IF($A326="","",IF(AND($O326&lt;0,$I326&lt;&gt;"Completed",$I326&lt;&gt;"Cancelled"),1,0))</f>
        <v/>
      </c>
      <c r="T326" s="0" t="str">
        <f aca="false">IF($A326="","",IF($I326="Completed",ROW(),""))</f>
        <v/>
      </c>
      <c r="U326" s="0" t="str">
        <f aca="false">IF($A326="","",IF(OR($I326="Not Started",$I326="Planning",$I326="Blocked"),ROW(),""))</f>
        <v/>
      </c>
    </row>
    <row r="327" customFormat="false" ht="15" hidden="false" customHeight="false" outlineLevel="0" collapsed="false">
      <c r="B327" s="3"/>
      <c r="F327" s="3"/>
      <c r="G327" s="3"/>
      <c r="H327" s="3"/>
      <c r="I327" s="3"/>
      <c r="J327" s="37" t="str">
        <f aca="false">IF($A327="","",IFERROR(INDEX(Lists!$B$2:$B$10,MATCH($I327,Lists!$A$2:$A$10,0)),""))</f>
        <v/>
      </c>
      <c r="N327" s="0" t="str">
        <f aca="false">IF($A327="","",$L327-$K327+1)</f>
        <v/>
      </c>
      <c r="O327" s="39" t="str">
        <f aca="true">IF($A327="","",IF(OR($I327="Completed",$I327="Cancelled"),0,$L327-TODAY()))</f>
        <v/>
      </c>
      <c r="Q327" s="3"/>
      <c r="S327" s="0" t="str">
        <f aca="false">IF($A327="","",IF(AND($O327&lt;0,$I327&lt;&gt;"Completed",$I327&lt;&gt;"Cancelled"),1,0))</f>
        <v/>
      </c>
      <c r="T327" s="0" t="str">
        <f aca="false">IF($A327="","",IF($I327="Completed",ROW(),""))</f>
        <v/>
      </c>
      <c r="U327" s="0" t="str">
        <f aca="false">IF($A327="","",IF(OR($I327="Not Started",$I327="Planning",$I327="Blocked"),ROW(),""))</f>
        <v/>
      </c>
    </row>
    <row r="328" customFormat="false" ht="15" hidden="false" customHeight="false" outlineLevel="0" collapsed="false">
      <c r="B328" s="3"/>
      <c r="F328" s="3"/>
      <c r="G328" s="3"/>
      <c r="H328" s="3"/>
      <c r="I328" s="3"/>
      <c r="J328" s="37" t="str">
        <f aca="false">IF($A328="","",IFERROR(INDEX(Lists!$B$2:$B$10,MATCH($I328,Lists!$A$2:$A$10,0)),""))</f>
        <v/>
      </c>
      <c r="N328" s="0" t="str">
        <f aca="false">IF($A328="","",$L328-$K328+1)</f>
        <v/>
      </c>
      <c r="O328" s="39" t="str">
        <f aca="true">IF($A328="","",IF(OR($I328="Completed",$I328="Cancelled"),0,$L328-TODAY()))</f>
        <v/>
      </c>
      <c r="Q328" s="3"/>
      <c r="S328" s="0" t="str">
        <f aca="false">IF($A328="","",IF(AND($O328&lt;0,$I328&lt;&gt;"Completed",$I328&lt;&gt;"Cancelled"),1,0))</f>
        <v/>
      </c>
      <c r="T328" s="0" t="str">
        <f aca="false">IF($A328="","",IF($I328="Completed",ROW(),""))</f>
        <v/>
      </c>
      <c r="U328" s="0" t="str">
        <f aca="false">IF($A328="","",IF(OR($I328="Not Started",$I328="Planning",$I328="Blocked"),ROW(),""))</f>
        <v/>
      </c>
    </row>
    <row r="329" customFormat="false" ht="15" hidden="false" customHeight="false" outlineLevel="0" collapsed="false">
      <c r="B329" s="3"/>
      <c r="F329" s="3"/>
      <c r="G329" s="3"/>
      <c r="H329" s="3"/>
      <c r="I329" s="3"/>
      <c r="J329" s="37" t="str">
        <f aca="false">IF($A329="","",IFERROR(INDEX(Lists!$B$2:$B$10,MATCH($I329,Lists!$A$2:$A$10,0)),""))</f>
        <v/>
      </c>
      <c r="N329" s="0" t="str">
        <f aca="false">IF($A329="","",$L329-$K329+1)</f>
        <v/>
      </c>
      <c r="O329" s="39" t="str">
        <f aca="true">IF($A329="","",IF(OR($I329="Completed",$I329="Cancelled"),0,$L329-TODAY()))</f>
        <v/>
      </c>
      <c r="Q329" s="3"/>
      <c r="S329" s="0" t="str">
        <f aca="false">IF($A329="","",IF(AND($O329&lt;0,$I329&lt;&gt;"Completed",$I329&lt;&gt;"Cancelled"),1,0))</f>
        <v/>
      </c>
      <c r="T329" s="0" t="str">
        <f aca="false">IF($A329="","",IF($I329="Completed",ROW(),""))</f>
        <v/>
      </c>
      <c r="U329" s="0" t="str">
        <f aca="false">IF($A329="","",IF(OR($I329="Not Started",$I329="Planning",$I329="Blocked"),ROW(),""))</f>
        <v/>
      </c>
    </row>
    <row r="330" customFormat="false" ht="15" hidden="false" customHeight="false" outlineLevel="0" collapsed="false">
      <c r="B330" s="3"/>
      <c r="F330" s="3"/>
      <c r="G330" s="3"/>
      <c r="H330" s="3"/>
      <c r="I330" s="3"/>
      <c r="J330" s="37" t="str">
        <f aca="false">IF($A330="","",IFERROR(INDEX(Lists!$B$2:$B$10,MATCH($I330,Lists!$A$2:$A$10,0)),""))</f>
        <v/>
      </c>
      <c r="N330" s="0" t="str">
        <f aca="false">IF($A330="","",$L330-$K330+1)</f>
        <v/>
      </c>
      <c r="O330" s="39" t="str">
        <f aca="true">IF($A330="","",IF(OR($I330="Completed",$I330="Cancelled"),0,$L330-TODAY()))</f>
        <v/>
      </c>
      <c r="Q330" s="3"/>
      <c r="S330" s="0" t="str">
        <f aca="false">IF($A330="","",IF(AND($O330&lt;0,$I330&lt;&gt;"Completed",$I330&lt;&gt;"Cancelled"),1,0))</f>
        <v/>
      </c>
      <c r="T330" s="0" t="str">
        <f aca="false">IF($A330="","",IF($I330="Completed",ROW(),""))</f>
        <v/>
      </c>
      <c r="U330" s="0" t="str">
        <f aca="false">IF($A330="","",IF(OR($I330="Not Started",$I330="Planning",$I330="Blocked"),ROW(),""))</f>
        <v/>
      </c>
    </row>
    <row r="331" customFormat="false" ht="15" hidden="false" customHeight="false" outlineLevel="0" collapsed="false">
      <c r="B331" s="3"/>
      <c r="F331" s="3"/>
      <c r="G331" s="3"/>
      <c r="H331" s="3"/>
      <c r="I331" s="3"/>
      <c r="J331" s="37" t="str">
        <f aca="false">IF($A331="","",IFERROR(INDEX(Lists!$B$2:$B$10,MATCH($I331,Lists!$A$2:$A$10,0)),""))</f>
        <v/>
      </c>
      <c r="N331" s="0" t="str">
        <f aca="false">IF($A331="","",$L331-$K331+1)</f>
        <v/>
      </c>
      <c r="O331" s="39" t="str">
        <f aca="true">IF($A331="","",IF(OR($I331="Completed",$I331="Cancelled"),0,$L331-TODAY()))</f>
        <v/>
      </c>
      <c r="Q331" s="3"/>
      <c r="S331" s="0" t="str">
        <f aca="false">IF($A331="","",IF(AND($O331&lt;0,$I331&lt;&gt;"Completed",$I331&lt;&gt;"Cancelled"),1,0))</f>
        <v/>
      </c>
      <c r="T331" s="0" t="str">
        <f aca="false">IF($A331="","",IF($I331="Completed",ROW(),""))</f>
        <v/>
      </c>
      <c r="U331" s="0" t="str">
        <f aca="false">IF($A331="","",IF(OR($I331="Not Started",$I331="Planning",$I331="Blocked"),ROW(),""))</f>
        <v/>
      </c>
    </row>
    <row r="332" customFormat="false" ht="15" hidden="false" customHeight="false" outlineLevel="0" collapsed="false">
      <c r="B332" s="3"/>
      <c r="F332" s="3"/>
      <c r="G332" s="3"/>
      <c r="H332" s="3"/>
      <c r="I332" s="3"/>
      <c r="J332" s="37" t="str">
        <f aca="false">IF($A332="","",IFERROR(INDEX(Lists!$B$2:$B$10,MATCH($I332,Lists!$A$2:$A$10,0)),""))</f>
        <v/>
      </c>
      <c r="N332" s="0" t="str">
        <f aca="false">IF($A332="","",$L332-$K332+1)</f>
        <v/>
      </c>
      <c r="O332" s="39" t="str">
        <f aca="true">IF($A332="","",IF(OR($I332="Completed",$I332="Cancelled"),0,$L332-TODAY()))</f>
        <v/>
      </c>
      <c r="Q332" s="3"/>
      <c r="S332" s="0" t="str">
        <f aca="false">IF($A332="","",IF(AND($O332&lt;0,$I332&lt;&gt;"Completed",$I332&lt;&gt;"Cancelled"),1,0))</f>
        <v/>
      </c>
      <c r="T332" s="0" t="str">
        <f aca="false">IF($A332="","",IF($I332="Completed",ROW(),""))</f>
        <v/>
      </c>
      <c r="U332" s="0" t="str">
        <f aca="false">IF($A332="","",IF(OR($I332="Not Started",$I332="Planning",$I332="Blocked"),ROW(),""))</f>
        <v/>
      </c>
    </row>
    <row r="333" customFormat="false" ht="15" hidden="false" customHeight="false" outlineLevel="0" collapsed="false">
      <c r="B333" s="3"/>
      <c r="F333" s="3"/>
      <c r="G333" s="3"/>
      <c r="H333" s="3"/>
      <c r="I333" s="3"/>
      <c r="J333" s="37" t="str">
        <f aca="false">IF($A333="","",IFERROR(INDEX(Lists!$B$2:$B$10,MATCH($I333,Lists!$A$2:$A$10,0)),""))</f>
        <v/>
      </c>
      <c r="N333" s="0" t="str">
        <f aca="false">IF($A333="","",$L333-$K333+1)</f>
        <v/>
      </c>
      <c r="O333" s="39" t="str">
        <f aca="true">IF($A333="","",IF(OR($I333="Completed",$I333="Cancelled"),0,$L333-TODAY()))</f>
        <v/>
      </c>
      <c r="Q333" s="3"/>
      <c r="S333" s="0" t="str">
        <f aca="false">IF($A333="","",IF(AND($O333&lt;0,$I333&lt;&gt;"Completed",$I333&lt;&gt;"Cancelled"),1,0))</f>
        <v/>
      </c>
      <c r="T333" s="0" t="str">
        <f aca="false">IF($A333="","",IF($I333="Completed",ROW(),""))</f>
        <v/>
      </c>
      <c r="U333" s="0" t="str">
        <f aca="false">IF($A333="","",IF(OR($I333="Not Started",$I333="Planning",$I333="Blocked"),ROW(),""))</f>
        <v/>
      </c>
    </row>
    <row r="334" customFormat="false" ht="15" hidden="false" customHeight="false" outlineLevel="0" collapsed="false">
      <c r="B334" s="3"/>
      <c r="F334" s="3"/>
      <c r="G334" s="3"/>
      <c r="H334" s="3"/>
      <c r="I334" s="3"/>
      <c r="J334" s="37" t="str">
        <f aca="false">IF($A334="","",IFERROR(INDEX(Lists!$B$2:$B$10,MATCH($I334,Lists!$A$2:$A$10,0)),""))</f>
        <v/>
      </c>
      <c r="N334" s="0" t="str">
        <f aca="false">IF($A334="","",$L334-$K334+1)</f>
        <v/>
      </c>
      <c r="O334" s="39" t="str">
        <f aca="true">IF($A334="","",IF(OR($I334="Completed",$I334="Cancelled"),0,$L334-TODAY()))</f>
        <v/>
      </c>
      <c r="Q334" s="3"/>
      <c r="S334" s="0" t="str">
        <f aca="false">IF($A334="","",IF(AND($O334&lt;0,$I334&lt;&gt;"Completed",$I334&lt;&gt;"Cancelled"),1,0))</f>
        <v/>
      </c>
      <c r="T334" s="0" t="str">
        <f aca="false">IF($A334="","",IF($I334="Completed",ROW(),""))</f>
        <v/>
      </c>
      <c r="U334" s="0" t="str">
        <f aca="false">IF($A334="","",IF(OR($I334="Not Started",$I334="Planning",$I334="Blocked"),ROW(),""))</f>
        <v/>
      </c>
    </row>
    <row r="335" customFormat="false" ht="15" hidden="false" customHeight="false" outlineLevel="0" collapsed="false">
      <c r="B335" s="3"/>
      <c r="F335" s="3"/>
      <c r="G335" s="3"/>
      <c r="H335" s="3"/>
      <c r="I335" s="3"/>
      <c r="J335" s="37" t="str">
        <f aca="false">IF($A335="","",IFERROR(INDEX(Lists!$B$2:$B$10,MATCH($I335,Lists!$A$2:$A$10,0)),""))</f>
        <v/>
      </c>
      <c r="N335" s="0" t="str">
        <f aca="false">IF($A335="","",$L335-$K335+1)</f>
        <v/>
      </c>
      <c r="O335" s="39" t="str">
        <f aca="true">IF($A335="","",IF(OR($I335="Completed",$I335="Cancelled"),0,$L335-TODAY()))</f>
        <v/>
      </c>
      <c r="Q335" s="3"/>
      <c r="S335" s="0" t="str">
        <f aca="false">IF($A335="","",IF(AND($O335&lt;0,$I335&lt;&gt;"Completed",$I335&lt;&gt;"Cancelled"),1,0))</f>
        <v/>
      </c>
      <c r="T335" s="0" t="str">
        <f aca="false">IF($A335="","",IF($I335="Completed",ROW(),""))</f>
        <v/>
      </c>
      <c r="U335" s="0" t="str">
        <f aca="false">IF($A335="","",IF(OR($I335="Not Started",$I335="Planning",$I335="Blocked"),ROW(),""))</f>
        <v/>
      </c>
    </row>
    <row r="336" customFormat="false" ht="15" hidden="false" customHeight="false" outlineLevel="0" collapsed="false">
      <c r="B336" s="3"/>
      <c r="F336" s="3"/>
      <c r="G336" s="3"/>
      <c r="H336" s="3"/>
      <c r="I336" s="3"/>
      <c r="J336" s="37" t="str">
        <f aca="false">IF($A336="","",IFERROR(INDEX(Lists!$B$2:$B$10,MATCH($I336,Lists!$A$2:$A$10,0)),""))</f>
        <v/>
      </c>
      <c r="N336" s="0" t="str">
        <f aca="false">IF($A336="","",$L336-$K336+1)</f>
        <v/>
      </c>
      <c r="O336" s="39" t="str">
        <f aca="true">IF($A336="","",IF(OR($I336="Completed",$I336="Cancelled"),0,$L336-TODAY()))</f>
        <v/>
      </c>
      <c r="Q336" s="3"/>
      <c r="S336" s="0" t="str">
        <f aca="false">IF($A336="","",IF(AND($O336&lt;0,$I336&lt;&gt;"Completed",$I336&lt;&gt;"Cancelled"),1,0))</f>
        <v/>
      </c>
      <c r="T336" s="0" t="str">
        <f aca="false">IF($A336="","",IF($I336="Completed",ROW(),""))</f>
        <v/>
      </c>
      <c r="U336" s="0" t="str">
        <f aca="false">IF($A336="","",IF(OR($I336="Not Started",$I336="Planning",$I336="Blocked"),ROW(),""))</f>
        <v/>
      </c>
    </row>
    <row r="337" customFormat="false" ht="15" hidden="false" customHeight="false" outlineLevel="0" collapsed="false">
      <c r="B337" s="3"/>
      <c r="F337" s="3"/>
      <c r="G337" s="3"/>
      <c r="H337" s="3"/>
      <c r="I337" s="3"/>
      <c r="J337" s="37" t="str">
        <f aca="false">IF($A337="","",IFERROR(INDEX(Lists!$B$2:$B$10,MATCH($I337,Lists!$A$2:$A$10,0)),""))</f>
        <v/>
      </c>
      <c r="N337" s="0" t="str">
        <f aca="false">IF($A337="","",$L337-$K337+1)</f>
        <v/>
      </c>
      <c r="O337" s="39" t="str">
        <f aca="true">IF($A337="","",IF(OR($I337="Completed",$I337="Cancelled"),0,$L337-TODAY()))</f>
        <v/>
      </c>
      <c r="Q337" s="3"/>
      <c r="S337" s="0" t="str">
        <f aca="false">IF($A337="","",IF(AND($O337&lt;0,$I337&lt;&gt;"Completed",$I337&lt;&gt;"Cancelled"),1,0))</f>
        <v/>
      </c>
      <c r="T337" s="0" t="str">
        <f aca="false">IF($A337="","",IF($I337="Completed",ROW(),""))</f>
        <v/>
      </c>
      <c r="U337" s="0" t="str">
        <f aca="false">IF($A337="","",IF(OR($I337="Not Started",$I337="Planning",$I337="Blocked"),ROW(),""))</f>
        <v/>
      </c>
    </row>
    <row r="338" customFormat="false" ht="15" hidden="false" customHeight="false" outlineLevel="0" collapsed="false">
      <c r="B338" s="3"/>
      <c r="F338" s="3"/>
      <c r="G338" s="3"/>
      <c r="H338" s="3"/>
      <c r="I338" s="3"/>
      <c r="J338" s="37" t="str">
        <f aca="false">IF($A338="","",IFERROR(INDEX(Lists!$B$2:$B$10,MATCH($I338,Lists!$A$2:$A$10,0)),""))</f>
        <v/>
      </c>
      <c r="N338" s="0" t="str">
        <f aca="false">IF($A338="","",$L338-$K338+1)</f>
        <v/>
      </c>
      <c r="O338" s="39" t="str">
        <f aca="true">IF($A338="","",IF(OR($I338="Completed",$I338="Cancelled"),0,$L338-TODAY()))</f>
        <v/>
      </c>
      <c r="Q338" s="3"/>
      <c r="S338" s="0" t="str">
        <f aca="false">IF($A338="","",IF(AND($O338&lt;0,$I338&lt;&gt;"Completed",$I338&lt;&gt;"Cancelled"),1,0))</f>
        <v/>
      </c>
      <c r="T338" s="0" t="str">
        <f aca="false">IF($A338="","",IF($I338="Completed",ROW(),""))</f>
        <v/>
      </c>
      <c r="U338" s="0" t="str">
        <f aca="false">IF($A338="","",IF(OR($I338="Not Started",$I338="Planning",$I338="Blocked"),ROW(),""))</f>
        <v/>
      </c>
    </row>
    <row r="339" customFormat="false" ht="15" hidden="false" customHeight="false" outlineLevel="0" collapsed="false">
      <c r="B339" s="3"/>
      <c r="F339" s="3"/>
      <c r="G339" s="3"/>
      <c r="H339" s="3"/>
      <c r="I339" s="3"/>
      <c r="J339" s="37" t="str">
        <f aca="false">IF($A339="","",IFERROR(INDEX(Lists!$B$2:$B$10,MATCH($I339,Lists!$A$2:$A$10,0)),""))</f>
        <v/>
      </c>
      <c r="N339" s="0" t="str">
        <f aca="false">IF($A339="","",$L339-$K339+1)</f>
        <v/>
      </c>
      <c r="O339" s="39" t="str">
        <f aca="true">IF($A339="","",IF(OR($I339="Completed",$I339="Cancelled"),0,$L339-TODAY()))</f>
        <v/>
      </c>
      <c r="Q339" s="3"/>
      <c r="S339" s="0" t="str">
        <f aca="false">IF($A339="","",IF(AND($O339&lt;0,$I339&lt;&gt;"Completed",$I339&lt;&gt;"Cancelled"),1,0))</f>
        <v/>
      </c>
      <c r="T339" s="0" t="str">
        <f aca="false">IF($A339="","",IF($I339="Completed",ROW(),""))</f>
        <v/>
      </c>
      <c r="U339" s="0" t="str">
        <f aca="false">IF($A339="","",IF(OR($I339="Not Started",$I339="Planning",$I339="Blocked"),ROW(),""))</f>
        <v/>
      </c>
    </row>
    <row r="340" customFormat="false" ht="15" hidden="false" customHeight="false" outlineLevel="0" collapsed="false">
      <c r="B340" s="3"/>
      <c r="F340" s="3"/>
      <c r="G340" s="3"/>
      <c r="H340" s="3"/>
      <c r="I340" s="3"/>
      <c r="J340" s="37" t="str">
        <f aca="false">IF($A340="","",IFERROR(INDEX(Lists!$B$2:$B$10,MATCH($I340,Lists!$A$2:$A$10,0)),""))</f>
        <v/>
      </c>
      <c r="N340" s="0" t="str">
        <f aca="false">IF($A340="","",$L340-$K340+1)</f>
        <v/>
      </c>
      <c r="O340" s="39" t="str">
        <f aca="true">IF($A340="","",IF(OR($I340="Completed",$I340="Cancelled"),0,$L340-TODAY()))</f>
        <v/>
      </c>
      <c r="Q340" s="3"/>
      <c r="S340" s="0" t="str">
        <f aca="false">IF($A340="","",IF(AND($O340&lt;0,$I340&lt;&gt;"Completed",$I340&lt;&gt;"Cancelled"),1,0))</f>
        <v/>
      </c>
      <c r="T340" s="0" t="str">
        <f aca="false">IF($A340="","",IF($I340="Completed",ROW(),""))</f>
        <v/>
      </c>
      <c r="U340" s="0" t="str">
        <f aca="false">IF($A340="","",IF(OR($I340="Not Started",$I340="Planning",$I340="Blocked"),ROW(),""))</f>
        <v/>
      </c>
    </row>
    <row r="341" customFormat="false" ht="15" hidden="false" customHeight="false" outlineLevel="0" collapsed="false">
      <c r="B341" s="3"/>
      <c r="F341" s="3"/>
      <c r="G341" s="3"/>
      <c r="H341" s="3"/>
      <c r="I341" s="3"/>
      <c r="J341" s="37" t="str">
        <f aca="false">IF($A341="","",IFERROR(INDEX(Lists!$B$2:$B$10,MATCH($I341,Lists!$A$2:$A$10,0)),""))</f>
        <v/>
      </c>
      <c r="N341" s="0" t="str">
        <f aca="false">IF($A341="","",$L341-$K341+1)</f>
        <v/>
      </c>
      <c r="O341" s="39" t="str">
        <f aca="true">IF($A341="","",IF(OR($I341="Completed",$I341="Cancelled"),0,$L341-TODAY()))</f>
        <v/>
      </c>
      <c r="Q341" s="3"/>
      <c r="S341" s="0" t="str">
        <f aca="false">IF($A341="","",IF(AND($O341&lt;0,$I341&lt;&gt;"Completed",$I341&lt;&gt;"Cancelled"),1,0))</f>
        <v/>
      </c>
      <c r="T341" s="0" t="str">
        <f aca="false">IF($A341="","",IF($I341="Completed",ROW(),""))</f>
        <v/>
      </c>
      <c r="U341" s="0" t="str">
        <f aca="false">IF($A341="","",IF(OR($I341="Not Started",$I341="Planning",$I341="Blocked"),ROW(),""))</f>
        <v/>
      </c>
    </row>
    <row r="342" customFormat="false" ht="15" hidden="false" customHeight="false" outlineLevel="0" collapsed="false">
      <c r="B342" s="3"/>
      <c r="F342" s="3"/>
      <c r="G342" s="3"/>
      <c r="H342" s="3"/>
      <c r="I342" s="3"/>
      <c r="J342" s="37" t="str">
        <f aca="false">IF($A342="","",IFERROR(INDEX(Lists!$B$2:$B$10,MATCH($I342,Lists!$A$2:$A$10,0)),""))</f>
        <v/>
      </c>
      <c r="N342" s="0" t="str">
        <f aca="false">IF($A342="","",$L342-$K342+1)</f>
        <v/>
      </c>
      <c r="O342" s="39" t="str">
        <f aca="true">IF($A342="","",IF(OR($I342="Completed",$I342="Cancelled"),0,$L342-TODAY()))</f>
        <v/>
      </c>
      <c r="Q342" s="3"/>
      <c r="S342" s="0" t="str">
        <f aca="false">IF($A342="","",IF(AND($O342&lt;0,$I342&lt;&gt;"Completed",$I342&lt;&gt;"Cancelled"),1,0))</f>
        <v/>
      </c>
      <c r="T342" s="0" t="str">
        <f aca="false">IF($A342="","",IF($I342="Completed",ROW(),""))</f>
        <v/>
      </c>
      <c r="U342" s="0" t="str">
        <f aca="false">IF($A342="","",IF(OR($I342="Not Started",$I342="Planning",$I342="Blocked"),ROW(),""))</f>
        <v/>
      </c>
    </row>
    <row r="343" customFormat="false" ht="15" hidden="false" customHeight="false" outlineLevel="0" collapsed="false">
      <c r="B343" s="3"/>
      <c r="F343" s="3"/>
      <c r="G343" s="3"/>
      <c r="H343" s="3"/>
      <c r="I343" s="3"/>
      <c r="J343" s="37" t="str">
        <f aca="false">IF($A343="","",IFERROR(INDEX(Lists!$B$2:$B$10,MATCH($I343,Lists!$A$2:$A$10,0)),""))</f>
        <v/>
      </c>
      <c r="N343" s="0" t="str">
        <f aca="false">IF($A343="","",$L343-$K343+1)</f>
        <v/>
      </c>
      <c r="O343" s="39" t="str">
        <f aca="true">IF($A343="","",IF(OR($I343="Completed",$I343="Cancelled"),0,$L343-TODAY()))</f>
        <v/>
      </c>
      <c r="Q343" s="3"/>
      <c r="S343" s="0" t="str">
        <f aca="false">IF($A343="","",IF(AND($O343&lt;0,$I343&lt;&gt;"Completed",$I343&lt;&gt;"Cancelled"),1,0))</f>
        <v/>
      </c>
      <c r="T343" s="0" t="str">
        <f aca="false">IF($A343="","",IF($I343="Completed",ROW(),""))</f>
        <v/>
      </c>
      <c r="U343" s="0" t="str">
        <f aca="false">IF($A343="","",IF(OR($I343="Not Started",$I343="Planning",$I343="Blocked"),ROW(),""))</f>
        <v/>
      </c>
    </row>
    <row r="344" customFormat="false" ht="15" hidden="false" customHeight="false" outlineLevel="0" collapsed="false">
      <c r="B344" s="3"/>
      <c r="F344" s="3"/>
      <c r="G344" s="3"/>
      <c r="H344" s="3"/>
      <c r="I344" s="3"/>
      <c r="J344" s="37" t="str">
        <f aca="false">IF($A344="","",IFERROR(INDEX(Lists!$B$2:$B$10,MATCH($I344,Lists!$A$2:$A$10,0)),""))</f>
        <v/>
      </c>
      <c r="N344" s="0" t="str">
        <f aca="false">IF($A344="","",$L344-$K344+1)</f>
        <v/>
      </c>
      <c r="O344" s="39" t="str">
        <f aca="true">IF($A344="","",IF(OR($I344="Completed",$I344="Cancelled"),0,$L344-TODAY()))</f>
        <v/>
      </c>
      <c r="Q344" s="3"/>
      <c r="S344" s="0" t="str">
        <f aca="false">IF($A344="","",IF(AND($O344&lt;0,$I344&lt;&gt;"Completed",$I344&lt;&gt;"Cancelled"),1,0))</f>
        <v/>
      </c>
      <c r="T344" s="0" t="str">
        <f aca="false">IF($A344="","",IF($I344="Completed",ROW(),""))</f>
        <v/>
      </c>
      <c r="U344" s="0" t="str">
        <f aca="false">IF($A344="","",IF(OR($I344="Not Started",$I344="Planning",$I344="Blocked"),ROW(),""))</f>
        <v/>
      </c>
    </row>
    <row r="345" customFormat="false" ht="15" hidden="false" customHeight="false" outlineLevel="0" collapsed="false">
      <c r="B345" s="3"/>
      <c r="F345" s="3"/>
      <c r="G345" s="3"/>
      <c r="H345" s="3"/>
      <c r="I345" s="3"/>
      <c r="J345" s="37" t="str">
        <f aca="false">IF($A345="","",IFERROR(INDEX(Lists!$B$2:$B$10,MATCH($I345,Lists!$A$2:$A$10,0)),""))</f>
        <v/>
      </c>
      <c r="N345" s="0" t="str">
        <f aca="false">IF($A345="","",$L345-$K345+1)</f>
        <v/>
      </c>
      <c r="O345" s="39" t="str">
        <f aca="true">IF($A345="","",IF(OR($I345="Completed",$I345="Cancelled"),0,$L345-TODAY()))</f>
        <v/>
      </c>
      <c r="Q345" s="3"/>
      <c r="S345" s="0" t="str">
        <f aca="false">IF($A345="","",IF(AND($O345&lt;0,$I345&lt;&gt;"Completed",$I345&lt;&gt;"Cancelled"),1,0))</f>
        <v/>
      </c>
      <c r="T345" s="0" t="str">
        <f aca="false">IF($A345="","",IF($I345="Completed",ROW(),""))</f>
        <v/>
      </c>
      <c r="U345" s="0" t="str">
        <f aca="false">IF($A345="","",IF(OR($I345="Not Started",$I345="Planning",$I345="Blocked"),ROW(),""))</f>
        <v/>
      </c>
    </row>
    <row r="346" customFormat="false" ht="15" hidden="false" customHeight="false" outlineLevel="0" collapsed="false">
      <c r="B346" s="3"/>
      <c r="F346" s="3"/>
      <c r="G346" s="3"/>
      <c r="H346" s="3"/>
      <c r="I346" s="3"/>
      <c r="J346" s="37" t="str">
        <f aca="false">IF($A346="","",IFERROR(INDEX(Lists!$B$2:$B$10,MATCH($I346,Lists!$A$2:$A$10,0)),""))</f>
        <v/>
      </c>
      <c r="N346" s="0" t="str">
        <f aca="false">IF($A346="","",$L346-$K346+1)</f>
        <v/>
      </c>
      <c r="O346" s="39" t="str">
        <f aca="true">IF($A346="","",IF(OR($I346="Completed",$I346="Cancelled"),0,$L346-TODAY()))</f>
        <v/>
      </c>
      <c r="Q346" s="3"/>
      <c r="S346" s="0" t="str">
        <f aca="false">IF($A346="","",IF(AND($O346&lt;0,$I346&lt;&gt;"Completed",$I346&lt;&gt;"Cancelled"),1,0))</f>
        <v/>
      </c>
      <c r="T346" s="0" t="str">
        <f aca="false">IF($A346="","",IF($I346="Completed",ROW(),""))</f>
        <v/>
      </c>
      <c r="U346" s="0" t="str">
        <f aca="false">IF($A346="","",IF(OR($I346="Not Started",$I346="Planning",$I346="Blocked"),ROW(),""))</f>
        <v/>
      </c>
    </row>
    <row r="347" customFormat="false" ht="15" hidden="false" customHeight="false" outlineLevel="0" collapsed="false">
      <c r="B347" s="3"/>
      <c r="F347" s="3"/>
      <c r="G347" s="3"/>
      <c r="H347" s="3"/>
      <c r="I347" s="3"/>
      <c r="J347" s="37" t="str">
        <f aca="false">IF($A347="","",IFERROR(INDEX(Lists!$B$2:$B$10,MATCH($I347,Lists!$A$2:$A$10,0)),""))</f>
        <v/>
      </c>
      <c r="N347" s="0" t="str">
        <f aca="false">IF($A347="","",$L347-$K347+1)</f>
        <v/>
      </c>
      <c r="O347" s="39" t="str">
        <f aca="true">IF($A347="","",IF(OR($I347="Completed",$I347="Cancelled"),0,$L347-TODAY()))</f>
        <v/>
      </c>
      <c r="Q347" s="3"/>
      <c r="S347" s="0" t="str">
        <f aca="false">IF($A347="","",IF(AND($O347&lt;0,$I347&lt;&gt;"Completed",$I347&lt;&gt;"Cancelled"),1,0))</f>
        <v/>
      </c>
      <c r="T347" s="0" t="str">
        <f aca="false">IF($A347="","",IF($I347="Completed",ROW(),""))</f>
        <v/>
      </c>
      <c r="U347" s="0" t="str">
        <f aca="false">IF($A347="","",IF(OR($I347="Not Started",$I347="Planning",$I347="Blocked"),ROW(),""))</f>
        <v/>
      </c>
    </row>
    <row r="348" customFormat="false" ht="15" hidden="false" customHeight="false" outlineLevel="0" collapsed="false">
      <c r="B348" s="3"/>
      <c r="F348" s="3"/>
      <c r="G348" s="3"/>
      <c r="H348" s="3"/>
      <c r="I348" s="3"/>
      <c r="J348" s="37" t="str">
        <f aca="false">IF($A348="","",IFERROR(INDEX(Lists!$B$2:$B$10,MATCH($I348,Lists!$A$2:$A$10,0)),""))</f>
        <v/>
      </c>
      <c r="N348" s="0" t="str">
        <f aca="false">IF($A348="","",$L348-$K348+1)</f>
        <v/>
      </c>
      <c r="O348" s="39" t="str">
        <f aca="true">IF($A348="","",IF(OR($I348="Completed",$I348="Cancelled"),0,$L348-TODAY()))</f>
        <v/>
      </c>
      <c r="Q348" s="3"/>
      <c r="S348" s="0" t="str">
        <f aca="false">IF($A348="","",IF(AND($O348&lt;0,$I348&lt;&gt;"Completed",$I348&lt;&gt;"Cancelled"),1,0))</f>
        <v/>
      </c>
      <c r="T348" s="0" t="str">
        <f aca="false">IF($A348="","",IF($I348="Completed",ROW(),""))</f>
        <v/>
      </c>
      <c r="U348" s="0" t="str">
        <f aca="false">IF($A348="","",IF(OR($I348="Not Started",$I348="Planning",$I348="Blocked"),ROW(),""))</f>
        <v/>
      </c>
    </row>
    <row r="349" customFormat="false" ht="15" hidden="false" customHeight="false" outlineLevel="0" collapsed="false">
      <c r="B349" s="3"/>
      <c r="F349" s="3"/>
      <c r="G349" s="3"/>
      <c r="H349" s="3"/>
      <c r="I349" s="3"/>
      <c r="J349" s="37" t="str">
        <f aca="false">IF($A349="","",IFERROR(INDEX(Lists!$B$2:$B$10,MATCH($I349,Lists!$A$2:$A$10,0)),""))</f>
        <v/>
      </c>
      <c r="N349" s="0" t="str">
        <f aca="false">IF($A349="","",$L349-$K349+1)</f>
        <v/>
      </c>
      <c r="O349" s="39" t="str">
        <f aca="true">IF($A349="","",IF(OR($I349="Completed",$I349="Cancelled"),0,$L349-TODAY()))</f>
        <v/>
      </c>
      <c r="Q349" s="3"/>
      <c r="S349" s="0" t="str">
        <f aca="false">IF($A349="","",IF(AND($O349&lt;0,$I349&lt;&gt;"Completed",$I349&lt;&gt;"Cancelled"),1,0))</f>
        <v/>
      </c>
      <c r="T349" s="0" t="str">
        <f aca="false">IF($A349="","",IF($I349="Completed",ROW(),""))</f>
        <v/>
      </c>
      <c r="U349" s="0" t="str">
        <f aca="false">IF($A349="","",IF(OR($I349="Not Started",$I349="Planning",$I349="Blocked"),ROW(),""))</f>
        <v/>
      </c>
    </row>
    <row r="350" customFormat="false" ht="15" hidden="false" customHeight="false" outlineLevel="0" collapsed="false">
      <c r="B350" s="3"/>
      <c r="F350" s="3"/>
      <c r="G350" s="3"/>
      <c r="H350" s="3"/>
      <c r="I350" s="3"/>
      <c r="J350" s="37" t="str">
        <f aca="false">IF($A350="","",IFERROR(INDEX(Lists!$B$2:$B$10,MATCH($I350,Lists!$A$2:$A$10,0)),""))</f>
        <v/>
      </c>
      <c r="N350" s="0" t="str">
        <f aca="false">IF($A350="","",$L350-$K350+1)</f>
        <v/>
      </c>
      <c r="O350" s="39" t="str">
        <f aca="true">IF($A350="","",IF(OR($I350="Completed",$I350="Cancelled"),0,$L350-TODAY()))</f>
        <v/>
      </c>
      <c r="Q350" s="3"/>
      <c r="S350" s="0" t="str">
        <f aca="false">IF($A350="","",IF(AND($O350&lt;0,$I350&lt;&gt;"Completed",$I350&lt;&gt;"Cancelled"),1,0))</f>
        <v/>
      </c>
      <c r="T350" s="0" t="str">
        <f aca="false">IF($A350="","",IF($I350="Completed",ROW(),""))</f>
        <v/>
      </c>
      <c r="U350" s="0" t="str">
        <f aca="false">IF($A350="","",IF(OR($I350="Not Started",$I350="Planning",$I350="Blocked"),ROW(),""))</f>
        <v/>
      </c>
    </row>
    <row r="351" customFormat="false" ht="15" hidden="false" customHeight="false" outlineLevel="0" collapsed="false">
      <c r="B351" s="3"/>
      <c r="F351" s="3"/>
      <c r="G351" s="3"/>
      <c r="H351" s="3"/>
      <c r="I351" s="3"/>
      <c r="J351" s="37" t="str">
        <f aca="false">IF($A351="","",IFERROR(INDEX(Lists!$B$2:$B$10,MATCH($I351,Lists!$A$2:$A$10,0)),""))</f>
        <v/>
      </c>
      <c r="N351" s="0" t="str">
        <f aca="false">IF($A351="","",$L351-$K351+1)</f>
        <v/>
      </c>
      <c r="O351" s="39" t="str">
        <f aca="true">IF($A351="","",IF(OR($I351="Completed",$I351="Cancelled"),0,$L351-TODAY()))</f>
        <v/>
      </c>
      <c r="Q351" s="3"/>
      <c r="S351" s="0" t="str">
        <f aca="false">IF($A351="","",IF(AND($O351&lt;0,$I351&lt;&gt;"Completed",$I351&lt;&gt;"Cancelled"),1,0))</f>
        <v/>
      </c>
      <c r="T351" s="0" t="str">
        <f aca="false">IF($A351="","",IF($I351="Completed",ROW(),""))</f>
        <v/>
      </c>
      <c r="U351" s="0" t="str">
        <f aca="false">IF($A351="","",IF(OR($I351="Not Started",$I351="Planning",$I351="Blocked"),ROW(),""))</f>
        <v/>
      </c>
    </row>
    <row r="352" customFormat="false" ht="15" hidden="false" customHeight="false" outlineLevel="0" collapsed="false">
      <c r="B352" s="3"/>
      <c r="F352" s="3"/>
      <c r="G352" s="3"/>
      <c r="H352" s="3"/>
      <c r="I352" s="3"/>
      <c r="J352" s="37" t="str">
        <f aca="false">IF($A352="","",IFERROR(INDEX(Lists!$B$2:$B$10,MATCH($I352,Lists!$A$2:$A$10,0)),""))</f>
        <v/>
      </c>
      <c r="N352" s="0" t="str">
        <f aca="false">IF($A352="","",$L352-$K352+1)</f>
        <v/>
      </c>
      <c r="O352" s="39" t="str">
        <f aca="true">IF($A352="","",IF(OR($I352="Completed",$I352="Cancelled"),0,$L352-TODAY()))</f>
        <v/>
      </c>
      <c r="Q352" s="3"/>
      <c r="S352" s="0" t="str">
        <f aca="false">IF($A352="","",IF(AND($O352&lt;0,$I352&lt;&gt;"Completed",$I352&lt;&gt;"Cancelled"),1,0))</f>
        <v/>
      </c>
      <c r="T352" s="0" t="str">
        <f aca="false">IF($A352="","",IF($I352="Completed",ROW(),""))</f>
        <v/>
      </c>
      <c r="U352" s="0" t="str">
        <f aca="false">IF($A352="","",IF(OR($I352="Not Started",$I352="Planning",$I352="Blocked"),ROW(),""))</f>
        <v/>
      </c>
    </row>
    <row r="353" customFormat="false" ht="15" hidden="false" customHeight="false" outlineLevel="0" collapsed="false">
      <c r="B353" s="3"/>
      <c r="F353" s="3"/>
      <c r="G353" s="3"/>
      <c r="H353" s="3"/>
      <c r="I353" s="3"/>
      <c r="J353" s="37" t="str">
        <f aca="false">IF($A353="","",IFERROR(INDEX(Lists!$B$2:$B$10,MATCH($I353,Lists!$A$2:$A$10,0)),""))</f>
        <v/>
      </c>
      <c r="N353" s="0" t="str">
        <f aca="false">IF($A353="","",$L353-$K353+1)</f>
        <v/>
      </c>
      <c r="O353" s="39" t="str">
        <f aca="true">IF($A353="","",IF(OR($I353="Completed",$I353="Cancelled"),0,$L353-TODAY()))</f>
        <v/>
      </c>
      <c r="Q353" s="3"/>
      <c r="S353" s="0" t="str">
        <f aca="false">IF($A353="","",IF(AND($O353&lt;0,$I353&lt;&gt;"Completed",$I353&lt;&gt;"Cancelled"),1,0))</f>
        <v/>
      </c>
      <c r="T353" s="0" t="str">
        <f aca="false">IF($A353="","",IF($I353="Completed",ROW(),""))</f>
        <v/>
      </c>
      <c r="U353" s="0" t="str">
        <f aca="false">IF($A353="","",IF(OR($I353="Not Started",$I353="Planning",$I353="Blocked"),ROW(),""))</f>
        <v/>
      </c>
    </row>
    <row r="354" customFormat="false" ht="15" hidden="false" customHeight="false" outlineLevel="0" collapsed="false">
      <c r="B354" s="3"/>
      <c r="F354" s="3"/>
      <c r="G354" s="3"/>
      <c r="H354" s="3"/>
      <c r="I354" s="3"/>
      <c r="J354" s="37" t="str">
        <f aca="false">IF($A354="","",IFERROR(INDEX(Lists!$B$2:$B$10,MATCH($I354,Lists!$A$2:$A$10,0)),""))</f>
        <v/>
      </c>
      <c r="N354" s="0" t="str">
        <f aca="false">IF($A354="","",$L354-$K354+1)</f>
        <v/>
      </c>
      <c r="O354" s="39" t="str">
        <f aca="true">IF($A354="","",IF(OR($I354="Completed",$I354="Cancelled"),0,$L354-TODAY()))</f>
        <v/>
      </c>
      <c r="Q354" s="3"/>
      <c r="S354" s="0" t="str">
        <f aca="false">IF($A354="","",IF(AND($O354&lt;0,$I354&lt;&gt;"Completed",$I354&lt;&gt;"Cancelled"),1,0))</f>
        <v/>
      </c>
      <c r="T354" s="0" t="str">
        <f aca="false">IF($A354="","",IF($I354="Completed",ROW(),""))</f>
        <v/>
      </c>
      <c r="U354" s="0" t="str">
        <f aca="false">IF($A354="","",IF(OR($I354="Not Started",$I354="Planning",$I354="Blocked"),ROW(),""))</f>
        <v/>
      </c>
    </row>
    <row r="355" customFormat="false" ht="15" hidden="false" customHeight="false" outlineLevel="0" collapsed="false">
      <c r="B355" s="3"/>
      <c r="F355" s="3"/>
      <c r="G355" s="3"/>
      <c r="H355" s="3"/>
      <c r="I355" s="3"/>
      <c r="J355" s="37" t="str">
        <f aca="false">IF($A355="","",IFERROR(INDEX(Lists!$B$2:$B$10,MATCH($I355,Lists!$A$2:$A$10,0)),""))</f>
        <v/>
      </c>
      <c r="N355" s="0" t="str">
        <f aca="false">IF($A355="","",$L355-$K355+1)</f>
        <v/>
      </c>
      <c r="O355" s="39" t="str">
        <f aca="true">IF($A355="","",IF(OR($I355="Completed",$I355="Cancelled"),0,$L355-TODAY()))</f>
        <v/>
      </c>
      <c r="Q355" s="3"/>
      <c r="S355" s="0" t="str">
        <f aca="false">IF($A355="","",IF(AND($O355&lt;0,$I355&lt;&gt;"Completed",$I355&lt;&gt;"Cancelled"),1,0))</f>
        <v/>
      </c>
      <c r="T355" s="0" t="str">
        <f aca="false">IF($A355="","",IF($I355="Completed",ROW(),""))</f>
        <v/>
      </c>
      <c r="U355" s="0" t="str">
        <f aca="false">IF($A355="","",IF(OR($I355="Not Started",$I355="Planning",$I355="Blocked"),ROW(),""))</f>
        <v/>
      </c>
    </row>
    <row r="356" customFormat="false" ht="15" hidden="false" customHeight="false" outlineLevel="0" collapsed="false">
      <c r="B356" s="3"/>
      <c r="F356" s="3"/>
      <c r="G356" s="3"/>
      <c r="H356" s="3"/>
      <c r="I356" s="3"/>
      <c r="J356" s="37" t="str">
        <f aca="false">IF($A356="","",IFERROR(INDEX(Lists!$B$2:$B$10,MATCH($I356,Lists!$A$2:$A$10,0)),""))</f>
        <v/>
      </c>
      <c r="N356" s="0" t="str">
        <f aca="false">IF($A356="","",$L356-$K356+1)</f>
        <v/>
      </c>
      <c r="O356" s="39" t="str">
        <f aca="true">IF($A356="","",IF(OR($I356="Completed",$I356="Cancelled"),0,$L356-TODAY()))</f>
        <v/>
      </c>
      <c r="Q356" s="3"/>
      <c r="S356" s="0" t="str">
        <f aca="false">IF($A356="","",IF(AND($O356&lt;0,$I356&lt;&gt;"Completed",$I356&lt;&gt;"Cancelled"),1,0))</f>
        <v/>
      </c>
      <c r="T356" s="0" t="str">
        <f aca="false">IF($A356="","",IF($I356="Completed",ROW(),""))</f>
        <v/>
      </c>
      <c r="U356" s="0" t="str">
        <f aca="false">IF($A356="","",IF(OR($I356="Not Started",$I356="Planning",$I356="Blocked"),ROW(),""))</f>
        <v/>
      </c>
    </row>
    <row r="357" customFormat="false" ht="15" hidden="false" customHeight="false" outlineLevel="0" collapsed="false">
      <c r="B357" s="3"/>
      <c r="F357" s="3"/>
      <c r="G357" s="3"/>
      <c r="H357" s="3"/>
      <c r="I357" s="3"/>
      <c r="J357" s="37" t="str">
        <f aca="false">IF($A357="","",IFERROR(INDEX(Lists!$B$2:$B$10,MATCH($I357,Lists!$A$2:$A$10,0)),""))</f>
        <v/>
      </c>
      <c r="N357" s="0" t="str">
        <f aca="false">IF($A357="","",$L357-$K357+1)</f>
        <v/>
      </c>
      <c r="O357" s="39" t="str">
        <f aca="true">IF($A357="","",IF(OR($I357="Completed",$I357="Cancelled"),0,$L357-TODAY()))</f>
        <v/>
      </c>
      <c r="Q357" s="3"/>
      <c r="S357" s="0" t="str">
        <f aca="false">IF($A357="","",IF(AND($O357&lt;0,$I357&lt;&gt;"Completed",$I357&lt;&gt;"Cancelled"),1,0))</f>
        <v/>
      </c>
      <c r="T357" s="0" t="str">
        <f aca="false">IF($A357="","",IF($I357="Completed",ROW(),""))</f>
        <v/>
      </c>
      <c r="U357" s="0" t="str">
        <f aca="false">IF($A357="","",IF(OR($I357="Not Started",$I357="Planning",$I357="Blocked"),ROW(),""))</f>
        <v/>
      </c>
    </row>
    <row r="358" customFormat="false" ht="15" hidden="false" customHeight="false" outlineLevel="0" collapsed="false">
      <c r="B358" s="3"/>
      <c r="F358" s="3"/>
      <c r="G358" s="3"/>
      <c r="H358" s="3"/>
      <c r="I358" s="3"/>
      <c r="J358" s="37" t="str">
        <f aca="false">IF($A358="","",IFERROR(INDEX(Lists!$B$2:$B$10,MATCH($I358,Lists!$A$2:$A$10,0)),""))</f>
        <v/>
      </c>
      <c r="N358" s="0" t="str">
        <f aca="false">IF($A358="","",$L358-$K358+1)</f>
        <v/>
      </c>
      <c r="O358" s="39" t="str">
        <f aca="true">IF($A358="","",IF(OR($I358="Completed",$I358="Cancelled"),0,$L358-TODAY()))</f>
        <v/>
      </c>
      <c r="Q358" s="3"/>
      <c r="S358" s="0" t="str">
        <f aca="false">IF($A358="","",IF(AND($O358&lt;0,$I358&lt;&gt;"Completed",$I358&lt;&gt;"Cancelled"),1,0))</f>
        <v/>
      </c>
      <c r="T358" s="0" t="str">
        <f aca="false">IF($A358="","",IF($I358="Completed",ROW(),""))</f>
        <v/>
      </c>
      <c r="U358" s="0" t="str">
        <f aca="false">IF($A358="","",IF(OR($I358="Not Started",$I358="Planning",$I358="Blocked"),ROW(),""))</f>
        <v/>
      </c>
    </row>
    <row r="359" customFormat="false" ht="15" hidden="false" customHeight="false" outlineLevel="0" collapsed="false">
      <c r="B359" s="3"/>
      <c r="F359" s="3"/>
      <c r="G359" s="3"/>
      <c r="H359" s="3"/>
      <c r="I359" s="3"/>
      <c r="J359" s="37" t="str">
        <f aca="false">IF($A359="","",IFERROR(INDEX(Lists!$B$2:$B$10,MATCH($I359,Lists!$A$2:$A$10,0)),""))</f>
        <v/>
      </c>
      <c r="N359" s="0" t="str">
        <f aca="false">IF($A359="","",$L359-$K359+1)</f>
        <v/>
      </c>
      <c r="O359" s="39" t="str">
        <f aca="true">IF($A359="","",IF(OR($I359="Completed",$I359="Cancelled"),0,$L359-TODAY()))</f>
        <v/>
      </c>
      <c r="Q359" s="3"/>
      <c r="S359" s="0" t="str">
        <f aca="false">IF($A359="","",IF(AND($O359&lt;0,$I359&lt;&gt;"Completed",$I359&lt;&gt;"Cancelled"),1,0))</f>
        <v/>
      </c>
      <c r="T359" s="0" t="str">
        <f aca="false">IF($A359="","",IF($I359="Completed",ROW(),""))</f>
        <v/>
      </c>
      <c r="U359" s="0" t="str">
        <f aca="false">IF($A359="","",IF(OR($I359="Not Started",$I359="Planning",$I359="Blocked"),ROW(),""))</f>
        <v/>
      </c>
    </row>
    <row r="360" customFormat="false" ht="15" hidden="false" customHeight="false" outlineLevel="0" collapsed="false">
      <c r="B360" s="3"/>
      <c r="F360" s="3"/>
      <c r="G360" s="3"/>
      <c r="H360" s="3"/>
      <c r="I360" s="3"/>
      <c r="J360" s="37" t="str">
        <f aca="false">IF($A360="","",IFERROR(INDEX(Lists!$B$2:$B$10,MATCH($I360,Lists!$A$2:$A$10,0)),""))</f>
        <v/>
      </c>
      <c r="N360" s="0" t="str">
        <f aca="false">IF($A360="","",$L360-$K360+1)</f>
        <v/>
      </c>
      <c r="O360" s="39" t="str">
        <f aca="true">IF($A360="","",IF(OR($I360="Completed",$I360="Cancelled"),0,$L360-TODAY()))</f>
        <v/>
      </c>
      <c r="Q360" s="3"/>
      <c r="S360" s="0" t="str">
        <f aca="false">IF($A360="","",IF(AND($O360&lt;0,$I360&lt;&gt;"Completed",$I360&lt;&gt;"Cancelled"),1,0))</f>
        <v/>
      </c>
      <c r="T360" s="0" t="str">
        <f aca="false">IF($A360="","",IF($I360="Completed",ROW(),""))</f>
        <v/>
      </c>
      <c r="U360" s="0" t="str">
        <f aca="false">IF($A360="","",IF(OR($I360="Not Started",$I360="Planning",$I360="Blocked"),ROW(),""))</f>
        <v/>
      </c>
    </row>
    <row r="361" customFormat="false" ht="15" hidden="false" customHeight="false" outlineLevel="0" collapsed="false">
      <c r="B361" s="3"/>
      <c r="F361" s="3"/>
      <c r="G361" s="3"/>
      <c r="H361" s="3"/>
      <c r="I361" s="3"/>
      <c r="J361" s="37" t="str">
        <f aca="false">IF($A361="","",IFERROR(INDEX(Lists!$B$2:$B$10,MATCH($I361,Lists!$A$2:$A$10,0)),""))</f>
        <v/>
      </c>
      <c r="N361" s="0" t="str">
        <f aca="false">IF($A361="","",$L361-$K361+1)</f>
        <v/>
      </c>
      <c r="O361" s="39" t="str">
        <f aca="true">IF($A361="","",IF(OR($I361="Completed",$I361="Cancelled"),0,$L361-TODAY()))</f>
        <v/>
      </c>
      <c r="Q361" s="3"/>
      <c r="S361" s="0" t="str">
        <f aca="false">IF($A361="","",IF(AND($O361&lt;0,$I361&lt;&gt;"Completed",$I361&lt;&gt;"Cancelled"),1,0))</f>
        <v/>
      </c>
      <c r="T361" s="0" t="str">
        <f aca="false">IF($A361="","",IF($I361="Completed",ROW(),""))</f>
        <v/>
      </c>
      <c r="U361" s="0" t="str">
        <f aca="false">IF($A361="","",IF(OR($I361="Not Started",$I361="Planning",$I361="Blocked"),ROW(),""))</f>
        <v/>
      </c>
    </row>
    <row r="362" customFormat="false" ht="15" hidden="false" customHeight="false" outlineLevel="0" collapsed="false">
      <c r="B362" s="3"/>
      <c r="F362" s="3"/>
      <c r="G362" s="3"/>
      <c r="H362" s="3"/>
      <c r="I362" s="3"/>
      <c r="J362" s="37" t="str">
        <f aca="false">IF($A362="","",IFERROR(INDEX(Lists!$B$2:$B$10,MATCH($I362,Lists!$A$2:$A$10,0)),""))</f>
        <v/>
      </c>
      <c r="N362" s="0" t="str">
        <f aca="false">IF($A362="","",$L362-$K362+1)</f>
        <v/>
      </c>
      <c r="O362" s="39" t="str">
        <f aca="true">IF($A362="","",IF(OR($I362="Completed",$I362="Cancelled"),0,$L362-TODAY()))</f>
        <v/>
      </c>
      <c r="Q362" s="3"/>
      <c r="S362" s="0" t="str">
        <f aca="false">IF($A362="","",IF(AND($O362&lt;0,$I362&lt;&gt;"Completed",$I362&lt;&gt;"Cancelled"),1,0))</f>
        <v/>
      </c>
      <c r="T362" s="0" t="str">
        <f aca="false">IF($A362="","",IF($I362="Completed",ROW(),""))</f>
        <v/>
      </c>
      <c r="U362" s="0" t="str">
        <f aca="false">IF($A362="","",IF(OR($I362="Not Started",$I362="Planning",$I362="Blocked"),ROW(),""))</f>
        <v/>
      </c>
    </row>
    <row r="363" customFormat="false" ht="15" hidden="false" customHeight="false" outlineLevel="0" collapsed="false">
      <c r="B363" s="3"/>
      <c r="F363" s="3"/>
      <c r="G363" s="3"/>
      <c r="H363" s="3"/>
      <c r="I363" s="3"/>
      <c r="J363" s="37" t="str">
        <f aca="false">IF($A363="","",IFERROR(INDEX(Lists!$B$2:$B$10,MATCH($I363,Lists!$A$2:$A$10,0)),""))</f>
        <v/>
      </c>
      <c r="N363" s="0" t="str">
        <f aca="false">IF($A363="","",$L363-$K363+1)</f>
        <v/>
      </c>
      <c r="O363" s="39" t="str">
        <f aca="true">IF($A363="","",IF(OR($I363="Completed",$I363="Cancelled"),0,$L363-TODAY()))</f>
        <v/>
      </c>
      <c r="Q363" s="3"/>
      <c r="S363" s="0" t="str">
        <f aca="false">IF($A363="","",IF(AND($O363&lt;0,$I363&lt;&gt;"Completed",$I363&lt;&gt;"Cancelled"),1,0))</f>
        <v/>
      </c>
      <c r="T363" s="0" t="str">
        <f aca="false">IF($A363="","",IF($I363="Completed",ROW(),""))</f>
        <v/>
      </c>
      <c r="U363" s="0" t="str">
        <f aca="false">IF($A363="","",IF(OR($I363="Not Started",$I363="Planning",$I363="Blocked"),ROW(),""))</f>
        <v/>
      </c>
    </row>
    <row r="364" customFormat="false" ht="15" hidden="false" customHeight="false" outlineLevel="0" collapsed="false">
      <c r="B364" s="3"/>
      <c r="F364" s="3"/>
      <c r="G364" s="3"/>
      <c r="H364" s="3"/>
      <c r="I364" s="3"/>
      <c r="J364" s="37" t="str">
        <f aca="false">IF($A364="","",IFERROR(INDEX(Lists!$B$2:$B$10,MATCH($I364,Lists!$A$2:$A$10,0)),""))</f>
        <v/>
      </c>
      <c r="N364" s="0" t="str">
        <f aca="false">IF($A364="","",$L364-$K364+1)</f>
        <v/>
      </c>
      <c r="O364" s="39" t="str">
        <f aca="true">IF($A364="","",IF(OR($I364="Completed",$I364="Cancelled"),0,$L364-TODAY()))</f>
        <v/>
      </c>
      <c r="Q364" s="3"/>
      <c r="S364" s="0" t="str">
        <f aca="false">IF($A364="","",IF(AND($O364&lt;0,$I364&lt;&gt;"Completed",$I364&lt;&gt;"Cancelled"),1,0))</f>
        <v/>
      </c>
      <c r="T364" s="0" t="str">
        <f aca="false">IF($A364="","",IF($I364="Completed",ROW(),""))</f>
        <v/>
      </c>
      <c r="U364" s="0" t="str">
        <f aca="false">IF($A364="","",IF(OR($I364="Not Started",$I364="Planning",$I364="Blocked"),ROW(),""))</f>
        <v/>
      </c>
    </row>
    <row r="365" customFormat="false" ht="15" hidden="false" customHeight="false" outlineLevel="0" collapsed="false">
      <c r="B365" s="3"/>
      <c r="F365" s="3"/>
      <c r="G365" s="3"/>
      <c r="H365" s="3"/>
      <c r="I365" s="3"/>
      <c r="J365" s="37" t="str">
        <f aca="false">IF($A365="","",IFERROR(INDEX(Lists!$B$2:$B$10,MATCH($I365,Lists!$A$2:$A$10,0)),""))</f>
        <v/>
      </c>
      <c r="N365" s="0" t="str">
        <f aca="false">IF($A365="","",$L365-$K365+1)</f>
        <v/>
      </c>
      <c r="O365" s="39" t="str">
        <f aca="true">IF($A365="","",IF(OR($I365="Completed",$I365="Cancelled"),0,$L365-TODAY()))</f>
        <v/>
      </c>
      <c r="Q365" s="3"/>
      <c r="S365" s="0" t="str">
        <f aca="false">IF($A365="","",IF(AND($O365&lt;0,$I365&lt;&gt;"Completed",$I365&lt;&gt;"Cancelled"),1,0))</f>
        <v/>
      </c>
      <c r="T365" s="0" t="str">
        <f aca="false">IF($A365="","",IF($I365="Completed",ROW(),""))</f>
        <v/>
      </c>
      <c r="U365" s="0" t="str">
        <f aca="false">IF($A365="","",IF(OR($I365="Not Started",$I365="Planning",$I365="Blocked"),ROW(),""))</f>
        <v/>
      </c>
    </row>
    <row r="366" customFormat="false" ht="15" hidden="false" customHeight="false" outlineLevel="0" collapsed="false">
      <c r="B366" s="3"/>
      <c r="F366" s="3"/>
      <c r="G366" s="3"/>
      <c r="H366" s="3"/>
      <c r="I366" s="3"/>
      <c r="J366" s="37" t="str">
        <f aca="false">IF($A366="","",IFERROR(INDEX(Lists!$B$2:$B$10,MATCH($I366,Lists!$A$2:$A$10,0)),""))</f>
        <v/>
      </c>
      <c r="N366" s="0" t="str">
        <f aca="false">IF($A366="","",$L366-$K366+1)</f>
        <v/>
      </c>
      <c r="O366" s="39" t="str">
        <f aca="true">IF($A366="","",IF(OR($I366="Completed",$I366="Cancelled"),0,$L366-TODAY()))</f>
        <v/>
      </c>
      <c r="Q366" s="3"/>
      <c r="S366" s="0" t="str">
        <f aca="false">IF($A366="","",IF(AND($O366&lt;0,$I366&lt;&gt;"Completed",$I366&lt;&gt;"Cancelled"),1,0))</f>
        <v/>
      </c>
      <c r="T366" s="0" t="str">
        <f aca="false">IF($A366="","",IF($I366="Completed",ROW(),""))</f>
        <v/>
      </c>
      <c r="U366" s="0" t="str">
        <f aca="false">IF($A366="","",IF(OR($I366="Not Started",$I366="Planning",$I366="Blocked"),ROW(),""))</f>
        <v/>
      </c>
    </row>
    <row r="367" customFormat="false" ht="15" hidden="false" customHeight="false" outlineLevel="0" collapsed="false">
      <c r="B367" s="3"/>
      <c r="F367" s="3"/>
      <c r="G367" s="3"/>
      <c r="H367" s="3"/>
      <c r="I367" s="3"/>
      <c r="J367" s="37" t="str">
        <f aca="false">IF($A367="","",IFERROR(INDEX(Lists!$B$2:$B$10,MATCH($I367,Lists!$A$2:$A$10,0)),""))</f>
        <v/>
      </c>
      <c r="N367" s="0" t="str">
        <f aca="false">IF($A367="","",$L367-$K367+1)</f>
        <v/>
      </c>
      <c r="O367" s="39" t="str">
        <f aca="true">IF($A367="","",IF(OR($I367="Completed",$I367="Cancelled"),0,$L367-TODAY()))</f>
        <v/>
      </c>
      <c r="Q367" s="3"/>
      <c r="S367" s="0" t="str">
        <f aca="false">IF($A367="","",IF(AND($O367&lt;0,$I367&lt;&gt;"Completed",$I367&lt;&gt;"Cancelled"),1,0))</f>
        <v/>
      </c>
      <c r="T367" s="0" t="str">
        <f aca="false">IF($A367="","",IF($I367="Completed",ROW(),""))</f>
        <v/>
      </c>
      <c r="U367" s="0" t="str">
        <f aca="false">IF($A367="","",IF(OR($I367="Not Started",$I367="Planning",$I367="Blocked"),ROW(),""))</f>
        <v/>
      </c>
    </row>
    <row r="368" customFormat="false" ht="15" hidden="false" customHeight="false" outlineLevel="0" collapsed="false">
      <c r="B368" s="3"/>
      <c r="F368" s="3"/>
      <c r="G368" s="3"/>
      <c r="H368" s="3"/>
      <c r="I368" s="3"/>
      <c r="J368" s="37" t="str">
        <f aca="false">IF($A368="","",IFERROR(INDEX(Lists!$B$2:$B$10,MATCH($I368,Lists!$A$2:$A$10,0)),""))</f>
        <v/>
      </c>
      <c r="N368" s="0" t="str">
        <f aca="false">IF($A368="","",$L368-$K368+1)</f>
        <v/>
      </c>
      <c r="O368" s="39" t="str">
        <f aca="true">IF($A368="","",IF(OR($I368="Completed",$I368="Cancelled"),0,$L368-TODAY()))</f>
        <v/>
      </c>
      <c r="Q368" s="3"/>
      <c r="S368" s="0" t="str">
        <f aca="false">IF($A368="","",IF(AND($O368&lt;0,$I368&lt;&gt;"Completed",$I368&lt;&gt;"Cancelled"),1,0))</f>
        <v/>
      </c>
      <c r="T368" s="0" t="str">
        <f aca="false">IF($A368="","",IF($I368="Completed",ROW(),""))</f>
        <v/>
      </c>
      <c r="U368" s="0" t="str">
        <f aca="false">IF($A368="","",IF(OR($I368="Not Started",$I368="Planning",$I368="Blocked"),ROW(),""))</f>
        <v/>
      </c>
    </row>
    <row r="369" customFormat="false" ht="15" hidden="false" customHeight="false" outlineLevel="0" collapsed="false">
      <c r="B369" s="3"/>
      <c r="F369" s="3"/>
      <c r="G369" s="3"/>
      <c r="H369" s="3"/>
      <c r="I369" s="3"/>
      <c r="J369" s="37" t="str">
        <f aca="false">IF($A369="","",IFERROR(INDEX(Lists!$B$2:$B$10,MATCH($I369,Lists!$A$2:$A$10,0)),""))</f>
        <v/>
      </c>
      <c r="N369" s="0" t="str">
        <f aca="false">IF($A369="","",$L369-$K369+1)</f>
        <v/>
      </c>
      <c r="O369" s="39" t="str">
        <f aca="true">IF($A369="","",IF(OR($I369="Completed",$I369="Cancelled"),0,$L369-TODAY()))</f>
        <v/>
      </c>
      <c r="Q369" s="3"/>
      <c r="S369" s="0" t="str">
        <f aca="false">IF($A369="","",IF(AND($O369&lt;0,$I369&lt;&gt;"Completed",$I369&lt;&gt;"Cancelled"),1,0))</f>
        <v/>
      </c>
      <c r="T369" s="0" t="str">
        <f aca="false">IF($A369="","",IF($I369="Completed",ROW(),""))</f>
        <v/>
      </c>
      <c r="U369" s="0" t="str">
        <f aca="false">IF($A369="","",IF(OR($I369="Not Started",$I369="Planning",$I369="Blocked"),ROW(),""))</f>
        <v/>
      </c>
    </row>
    <row r="370" customFormat="false" ht="15" hidden="false" customHeight="false" outlineLevel="0" collapsed="false">
      <c r="B370" s="3"/>
      <c r="F370" s="3"/>
      <c r="G370" s="3"/>
      <c r="H370" s="3"/>
      <c r="I370" s="3"/>
      <c r="J370" s="37" t="str">
        <f aca="false">IF($A370="","",IFERROR(INDEX(Lists!$B$2:$B$10,MATCH($I370,Lists!$A$2:$A$10,0)),""))</f>
        <v/>
      </c>
      <c r="N370" s="0" t="str">
        <f aca="false">IF($A370="","",$L370-$K370+1)</f>
        <v/>
      </c>
      <c r="O370" s="39" t="str">
        <f aca="true">IF($A370="","",IF(OR($I370="Completed",$I370="Cancelled"),0,$L370-TODAY()))</f>
        <v/>
      </c>
      <c r="Q370" s="3"/>
      <c r="S370" s="0" t="str">
        <f aca="false">IF($A370="","",IF(AND($O370&lt;0,$I370&lt;&gt;"Completed",$I370&lt;&gt;"Cancelled"),1,0))</f>
        <v/>
      </c>
      <c r="T370" s="0" t="str">
        <f aca="false">IF($A370="","",IF($I370="Completed",ROW(),""))</f>
        <v/>
      </c>
      <c r="U370" s="0" t="str">
        <f aca="false">IF($A370="","",IF(OR($I370="Not Started",$I370="Planning",$I370="Blocked"),ROW(),""))</f>
        <v/>
      </c>
    </row>
    <row r="371" customFormat="false" ht="15" hidden="false" customHeight="false" outlineLevel="0" collapsed="false">
      <c r="B371" s="3"/>
      <c r="F371" s="3"/>
      <c r="G371" s="3"/>
      <c r="H371" s="3"/>
      <c r="I371" s="3"/>
      <c r="J371" s="37" t="str">
        <f aca="false">IF($A371="","",IFERROR(INDEX(Lists!$B$2:$B$10,MATCH($I371,Lists!$A$2:$A$10,0)),""))</f>
        <v/>
      </c>
      <c r="N371" s="0" t="str">
        <f aca="false">IF($A371="","",$L371-$K371+1)</f>
        <v/>
      </c>
      <c r="O371" s="39" t="str">
        <f aca="true">IF($A371="","",IF(OR($I371="Completed",$I371="Cancelled"),0,$L371-TODAY()))</f>
        <v/>
      </c>
      <c r="Q371" s="3"/>
      <c r="S371" s="0" t="str">
        <f aca="false">IF($A371="","",IF(AND($O371&lt;0,$I371&lt;&gt;"Completed",$I371&lt;&gt;"Cancelled"),1,0))</f>
        <v/>
      </c>
      <c r="T371" s="0" t="str">
        <f aca="false">IF($A371="","",IF($I371="Completed",ROW(),""))</f>
        <v/>
      </c>
      <c r="U371" s="0" t="str">
        <f aca="false">IF($A371="","",IF(OR($I371="Not Started",$I371="Planning",$I371="Blocked"),ROW(),""))</f>
        <v/>
      </c>
    </row>
    <row r="372" customFormat="false" ht="15" hidden="false" customHeight="false" outlineLevel="0" collapsed="false">
      <c r="B372" s="3"/>
      <c r="F372" s="3"/>
      <c r="G372" s="3"/>
      <c r="H372" s="3"/>
      <c r="I372" s="3"/>
      <c r="J372" s="37" t="str">
        <f aca="false">IF($A372="","",IFERROR(INDEX(Lists!$B$2:$B$10,MATCH($I372,Lists!$A$2:$A$10,0)),""))</f>
        <v/>
      </c>
      <c r="N372" s="0" t="str">
        <f aca="false">IF($A372="","",$L372-$K372+1)</f>
        <v/>
      </c>
      <c r="O372" s="39" t="str">
        <f aca="true">IF($A372="","",IF(OR($I372="Completed",$I372="Cancelled"),0,$L372-TODAY()))</f>
        <v/>
      </c>
      <c r="Q372" s="3"/>
      <c r="S372" s="0" t="str">
        <f aca="false">IF($A372="","",IF(AND($O372&lt;0,$I372&lt;&gt;"Completed",$I372&lt;&gt;"Cancelled"),1,0))</f>
        <v/>
      </c>
      <c r="T372" s="0" t="str">
        <f aca="false">IF($A372="","",IF($I372="Completed",ROW(),""))</f>
        <v/>
      </c>
      <c r="U372" s="0" t="str">
        <f aca="false">IF($A372="","",IF(OR($I372="Not Started",$I372="Planning",$I372="Blocked"),ROW(),""))</f>
        <v/>
      </c>
    </row>
    <row r="373" customFormat="false" ht="15" hidden="false" customHeight="false" outlineLevel="0" collapsed="false">
      <c r="B373" s="3"/>
      <c r="F373" s="3"/>
      <c r="G373" s="3"/>
      <c r="H373" s="3"/>
      <c r="I373" s="3"/>
      <c r="J373" s="37" t="str">
        <f aca="false">IF($A373="","",IFERROR(INDEX(Lists!$B$2:$B$10,MATCH($I373,Lists!$A$2:$A$10,0)),""))</f>
        <v/>
      </c>
      <c r="N373" s="0" t="str">
        <f aca="false">IF($A373="","",$L373-$K373+1)</f>
        <v/>
      </c>
      <c r="O373" s="39" t="str">
        <f aca="true">IF($A373="","",IF(OR($I373="Completed",$I373="Cancelled"),0,$L373-TODAY()))</f>
        <v/>
      </c>
      <c r="Q373" s="3"/>
      <c r="S373" s="0" t="str">
        <f aca="false">IF($A373="","",IF(AND($O373&lt;0,$I373&lt;&gt;"Completed",$I373&lt;&gt;"Cancelled"),1,0))</f>
        <v/>
      </c>
      <c r="T373" s="0" t="str">
        <f aca="false">IF($A373="","",IF($I373="Completed",ROW(),""))</f>
        <v/>
      </c>
      <c r="U373" s="0" t="str">
        <f aca="false">IF($A373="","",IF(OR($I373="Not Started",$I373="Planning",$I373="Blocked"),ROW(),""))</f>
        <v/>
      </c>
    </row>
    <row r="374" customFormat="false" ht="15" hidden="false" customHeight="false" outlineLevel="0" collapsed="false">
      <c r="B374" s="3"/>
      <c r="F374" s="3"/>
      <c r="G374" s="3"/>
      <c r="H374" s="3"/>
      <c r="I374" s="3"/>
      <c r="J374" s="37" t="str">
        <f aca="false">IF($A374="","",IFERROR(INDEX(Lists!$B$2:$B$10,MATCH($I374,Lists!$A$2:$A$10,0)),""))</f>
        <v/>
      </c>
      <c r="N374" s="0" t="str">
        <f aca="false">IF($A374="","",$L374-$K374+1)</f>
        <v/>
      </c>
      <c r="O374" s="39" t="str">
        <f aca="true">IF($A374="","",IF(OR($I374="Completed",$I374="Cancelled"),0,$L374-TODAY()))</f>
        <v/>
      </c>
      <c r="Q374" s="3"/>
      <c r="S374" s="0" t="str">
        <f aca="false">IF($A374="","",IF(AND($O374&lt;0,$I374&lt;&gt;"Completed",$I374&lt;&gt;"Cancelled"),1,0))</f>
        <v/>
      </c>
      <c r="T374" s="0" t="str">
        <f aca="false">IF($A374="","",IF($I374="Completed",ROW(),""))</f>
        <v/>
      </c>
      <c r="U374" s="0" t="str">
        <f aca="false">IF($A374="","",IF(OR($I374="Not Started",$I374="Planning",$I374="Blocked"),ROW(),""))</f>
        <v/>
      </c>
    </row>
    <row r="375" customFormat="false" ht="15" hidden="false" customHeight="false" outlineLevel="0" collapsed="false">
      <c r="B375" s="3"/>
      <c r="F375" s="3"/>
      <c r="G375" s="3"/>
      <c r="H375" s="3"/>
      <c r="I375" s="3"/>
      <c r="J375" s="37" t="str">
        <f aca="false">IF($A375="","",IFERROR(INDEX(Lists!$B$2:$B$10,MATCH($I375,Lists!$A$2:$A$10,0)),""))</f>
        <v/>
      </c>
      <c r="N375" s="0" t="str">
        <f aca="false">IF($A375="","",$L375-$K375+1)</f>
        <v/>
      </c>
      <c r="O375" s="39" t="str">
        <f aca="true">IF($A375="","",IF(OR($I375="Completed",$I375="Cancelled"),0,$L375-TODAY()))</f>
        <v/>
      </c>
      <c r="Q375" s="3"/>
      <c r="S375" s="0" t="str">
        <f aca="false">IF($A375="","",IF(AND($O375&lt;0,$I375&lt;&gt;"Completed",$I375&lt;&gt;"Cancelled"),1,0))</f>
        <v/>
      </c>
      <c r="T375" s="0" t="str">
        <f aca="false">IF($A375="","",IF($I375="Completed",ROW(),""))</f>
        <v/>
      </c>
      <c r="U375" s="0" t="str">
        <f aca="false">IF($A375="","",IF(OR($I375="Not Started",$I375="Planning",$I375="Blocked"),ROW(),""))</f>
        <v/>
      </c>
    </row>
    <row r="376" customFormat="false" ht="15" hidden="false" customHeight="false" outlineLevel="0" collapsed="false">
      <c r="B376" s="3"/>
      <c r="F376" s="3"/>
      <c r="G376" s="3"/>
      <c r="H376" s="3"/>
      <c r="I376" s="3"/>
      <c r="J376" s="37" t="str">
        <f aca="false">IF($A376="","",IFERROR(INDEX(Lists!$B$2:$B$10,MATCH($I376,Lists!$A$2:$A$10,0)),""))</f>
        <v/>
      </c>
      <c r="N376" s="0" t="str">
        <f aca="false">IF($A376="","",$L376-$K376+1)</f>
        <v/>
      </c>
      <c r="O376" s="39" t="str">
        <f aca="true">IF($A376="","",IF(OR($I376="Completed",$I376="Cancelled"),0,$L376-TODAY()))</f>
        <v/>
      </c>
      <c r="Q376" s="3"/>
      <c r="S376" s="0" t="str">
        <f aca="false">IF($A376="","",IF(AND($O376&lt;0,$I376&lt;&gt;"Completed",$I376&lt;&gt;"Cancelled"),1,0))</f>
        <v/>
      </c>
      <c r="T376" s="0" t="str">
        <f aca="false">IF($A376="","",IF($I376="Completed",ROW(),""))</f>
        <v/>
      </c>
      <c r="U376" s="0" t="str">
        <f aca="false">IF($A376="","",IF(OR($I376="Not Started",$I376="Planning",$I376="Blocked"),ROW(),""))</f>
        <v/>
      </c>
    </row>
    <row r="377" customFormat="false" ht="15" hidden="false" customHeight="false" outlineLevel="0" collapsed="false">
      <c r="B377" s="3"/>
      <c r="F377" s="3"/>
      <c r="G377" s="3"/>
      <c r="H377" s="3"/>
      <c r="I377" s="3"/>
      <c r="J377" s="37" t="str">
        <f aca="false">IF($A377="","",IFERROR(INDEX(Lists!$B$2:$B$10,MATCH($I377,Lists!$A$2:$A$10,0)),""))</f>
        <v/>
      </c>
      <c r="N377" s="0" t="str">
        <f aca="false">IF($A377="","",$L377-$K377+1)</f>
        <v/>
      </c>
      <c r="O377" s="39" t="str">
        <f aca="true">IF($A377="","",IF(OR($I377="Completed",$I377="Cancelled"),0,$L377-TODAY()))</f>
        <v/>
      </c>
      <c r="Q377" s="3"/>
      <c r="S377" s="0" t="str">
        <f aca="false">IF($A377="","",IF(AND($O377&lt;0,$I377&lt;&gt;"Completed",$I377&lt;&gt;"Cancelled"),1,0))</f>
        <v/>
      </c>
      <c r="T377" s="0" t="str">
        <f aca="false">IF($A377="","",IF($I377="Completed",ROW(),""))</f>
        <v/>
      </c>
      <c r="U377" s="0" t="str">
        <f aca="false">IF($A377="","",IF(OR($I377="Not Started",$I377="Planning",$I377="Blocked"),ROW(),""))</f>
        <v/>
      </c>
    </row>
    <row r="378" customFormat="false" ht="15" hidden="false" customHeight="false" outlineLevel="0" collapsed="false">
      <c r="B378" s="3"/>
      <c r="F378" s="3"/>
      <c r="G378" s="3"/>
      <c r="H378" s="3"/>
      <c r="I378" s="3"/>
      <c r="J378" s="37" t="str">
        <f aca="false">IF($A378="","",IFERROR(INDEX(Lists!$B$2:$B$10,MATCH($I378,Lists!$A$2:$A$10,0)),""))</f>
        <v/>
      </c>
      <c r="N378" s="0" t="str">
        <f aca="false">IF($A378="","",$L378-$K378+1)</f>
        <v/>
      </c>
      <c r="O378" s="39" t="str">
        <f aca="true">IF($A378="","",IF(OR($I378="Completed",$I378="Cancelled"),0,$L378-TODAY()))</f>
        <v/>
      </c>
      <c r="Q378" s="3"/>
      <c r="S378" s="0" t="str">
        <f aca="false">IF($A378="","",IF(AND($O378&lt;0,$I378&lt;&gt;"Completed",$I378&lt;&gt;"Cancelled"),1,0))</f>
        <v/>
      </c>
      <c r="T378" s="0" t="str">
        <f aca="false">IF($A378="","",IF($I378="Completed",ROW(),""))</f>
        <v/>
      </c>
      <c r="U378" s="0" t="str">
        <f aca="false">IF($A378="","",IF(OR($I378="Not Started",$I378="Planning",$I378="Blocked"),ROW(),""))</f>
        <v/>
      </c>
    </row>
    <row r="379" customFormat="false" ht="15" hidden="false" customHeight="false" outlineLevel="0" collapsed="false">
      <c r="B379" s="3"/>
      <c r="F379" s="3"/>
      <c r="G379" s="3"/>
      <c r="H379" s="3"/>
      <c r="I379" s="3"/>
      <c r="J379" s="37" t="str">
        <f aca="false">IF($A379="","",IFERROR(INDEX(Lists!$B$2:$B$10,MATCH($I379,Lists!$A$2:$A$10,0)),""))</f>
        <v/>
      </c>
      <c r="N379" s="0" t="str">
        <f aca="false">IF($A379="","",$L379-$K379+1)</f>
        <v/>
      </c>
      <c r="O379" s="39" t="str">
        <f aca="true">IF($A379="","",IF(OR($I379="Completed",$I379="Cancelled"),0,$L379-TODAY()))</f>
        <v/>
      </c>
      <c r="Q379" s="3"/>
      <c r="S379" s="0" t="str">
        <f aca="false">IF($A379="","",IF(AND($O379&lt;0,$I379&lt;&gt;"Completed",$I379&lt;&gt;"Cancelled"),1,0))</f>
        <v/>
      </c>
      <c r="T379" s="0" t="str">
        <f aca="false">IF($A379="","",IF($I379="Completed",ROW(),""))</f>
        <v/>
      </c>
      <c r="U379" s="0" t="str">
        <f aca="false">IF($A379="","",IF(OR($I379="Not Started",$I379="Planning",$I379="Blocked"),ROW(),""))</f>
        <v/>
      </c>
    </row>
    <row r="380" customFormat="false" ht="15" hidden="false" customHeight="false" outlineLevel="0" collapsed="false">
      <c r="B380" s="3"/>
      <c r="F380" s="3"/>
      <c r="G380" s="3"/>
      <c r="H380" s="3"/>
      <c r="I380" s="3"/>
      <c r="J380" s="37" t="str">
        <f aca="false">IF($A380="","",IFERROR(INDEX(Lists!$B$2:$B$10,MATCH($I380,Lists!$A$2:$A$10,0)),""))</f>
        <v/>
      </c>
      <c r="N380" s="0" t="str">
        <f aca="false">IF($A380="","",$L380-$K380+1)</f>
        <v/>
      </c>
      <c r="O380" s="39" t="str">
        <f aca="true">IF($A380="","",IF(OR($I380="Completed",$I380="Cancelled"),0,$L380-TODAY()))</f>
        <v/>
      </c>
      <c r="Q380" s="3"/>
      <c r="S380" s="0" t="str">
        <f aca="false">IF($A380="","",IF(AND($O380&lt;0,$I380&lt;&gt;"Completed",$I380&lt;&gt;"Cancelled"),1,0))</f>
        <v/>
      </c>
      <c r="T380" s="0" t="str">
        <f aca="false">IF($A380="","",IF($I380="Completed",ROW(),""))</f>
        <v/>
      </c>
      <c r="U380" s="0" t="str">
        <f aca="false">IF($A380="","",IF(OR($I380="Not Started",$I380="Planning",$I380="Blocked"),ROW(),""))</f>
        <v/>
      </c>
    </row>
    <row r="381" customFormat="false" ht="15" hidden="false" customHeight="false" outlineLevel="0" collapsed="false">
      <c r="B381" s="3"/>
      <c r="F381" s="3"/>
      <c r="G381" s="3"/>
      <c r="H381" s="3"/>
      <c r="I381" s="3"/>
      <c r="J381" s="37" t="str">
        <f aca="false">IF($A381="","",IFERROR(INDEX(Lists!$B$2:$B$10,MATCH($I381,Lists!$A$2:$A$10,0)),""))</f>
        <v/>
      </c>
      <c r="N381" s="0" t="str">
        <f aca="false">IF($A381="","",$L381-$K381+1)</f>
        <v/>
      </c>
      <c r="O381" s="39" t="str">
        <f aca="true">IF($A381="","",IF(OR($I381="Completed",$I381="Cancelled"),0,$L381-TODAY()))</f>
        <v/>
      </c>
      <c r="Q381" s="3"/>
      <c r="S381" s="0" t="str">
        <f aca="false">IF($A381="","",IF(AND($O381&lt;0,$I381&lt;&gt;"Completed",$I381&lt;&gt;"Cancelled"),1,0))</f>
        <v/>
      </c>
      <c r="T381" s="0" t="str">
        <f aca="false">IF($A381="","",IF($I381="Completed",ROW(),""))</f>
        <v/>
      </c>
      <c r="U381" s="0" t="str">
        <f aca="false">IF($A381="","",IF(OR($I381="Not Started",$I381="Planning",$I381="Blocked"),ROW(),""))</f>
        <v/>
      </c>
    </row>
    <row r="382" customFormat="false" ht="15" hidden="false" customHeight="false" outlineLevel="0" collapsed="false">
      <c r="B382" s="3"/>
      <c r="F382" s="3"/>
      <c r="G382" s="3"/>
      <c r="H382" s="3"/>
      <c r="I382" s="3"/>
      <c r="J382" s="37" t="str">
        <f aca="false">IF($A382="","",IFERROR(INDEX(Lists!$B$2:$B$10,MATCH($I382,Lists!$A$2:$A$10,0)),""))</f>
        <v/>
      </c>
      <c r="N382" s="0" t="str">
        <f aca="false">IF($A382="","",$L382-$K382+1)</f>
        <v/>
      </c>
      <c r="O382" s="39" t="str">
        <f aca="true">IF($A382="","",IF(OR($I382="Completed",$I382="Cancelled"),0,$L382-TODAY()))</f>
        <v/>
      </c>
      <c r="Q382" s="3"/>
      <c r="S382" s="0" t="str">
        <f aca="false">IF($A382="","",IF(AND($O382&lt;0,$I382&lt;&gt;"Completed",$I382&lt;&gt;"Cancelled"),1,0))</f>
        <v/>
      </c>
      <c r="T382" s="0" t="str">
        <f aca="false">IF($A382="","",IF($I382="Completed",ROW(),""))</f>
        <v/>
      </c>
      <c r="U382" s="0" t="str">
        <f aca="false">IF($A382="","",IF(OR($I382="Not Started",$I382="Planning",$I382="Blocked"),ROW(),""))</f>
        <v/>
      </c>
    </row>
    <row r="383" customFormat="false" ht="15" hidden="false" customHeight="false" outlineLevel="0" collapsed="false">
      <c r="B383" s="3"/>
      <c r="F383" s="3"/>
      <c r="G383" s="3"/>
      <c r="H383" s="3"/>
      <c r="I383" s="3"/>
      <c r="J383" s="37" t="str">
        <f aca="false">IF($A383="","",IFERROR(INDEX(Lists!$B$2:$B$10,MATCH($I383,Lists!$A$2:$A$10,0)),""))</f>
        <v/>
      </c>
      <c r="N383" s="0" t="str">
        <f aca="false">IF($A383="","",$L383-$K383+1)</f>
        <v/>
      </c>
      <c r="O383" s="39" t="str">
        <f aca="true">IF($A383="","",IF(OR($I383="Completed",$I383="Cancelled"),0,$L383-TODAY()))</f>
        <v/>
      </c>
      <c r="Q383" s="3"/>
      <c r="S383" s="0" t="str">
        <f aca="false">IF($A383="","",IF(AND($O383&lt;0,$I383&lt;&gt;"Completed",$I383&lt;&gt;"Cancelled"),1,0))</f>
        <v/>
      </c>
      <c r="T383" s="0" t="str">
        <f aca="false">IF($A383="","",IF($I383="Completed",ROW(),""))</f>
        <v/>
      </c>
      <c r="U383" s="0" t="str">
        <f aca="false">IF($A383="","",IF(OR($I383="Not Started",$I383="Planning",$I383="Blocked"),ROW(),""))</f>
        <v/>
      </c>
    </row>
    <row r="384" customFormat="false" ht="15" hidden="false" customHeight="false" outlineLevel="0" collapsed="false">
      <c r="B384" s="3"/>
      <c r="F384" s="3"/>
      <c r="G384" s="3"/>
      <c r="H384" s="3"/>
      <c r="I384" s="3"/>
      <c r="J384" s="37" t="str">
        <f aca="false">IF($A384="","",IFERROR(INDEX(Lists!$B$2:$B$10,MATCH($I384,Lists!$A$2:$A$10,0)),""))</f>
        <v/>
      </c>
      <c r="N384" s="0" t="str">
        <f aca="false">IF($A384="","",$L384-$K384+1)</f>
        <v/>
      </c>
      <c r="O384" s="39" t="str">
        <f aca="true">IF($A384="","",IF(OR($I384="Completed",$I384="Cancelled"),0,$L384-TODAY()))</f>
        <v/>
      </c>
      <c r="Q384" s="3"/>
      <c r="S384" s="0" t="str">
        <f aca="false">IF($A384="","",IF(AND($O384&lt;0,$I384&lt;&gt;"Completed",$I384&lt;&gt;"Cancelled"),1,0))</f>
        <v/>
      </c>
      <c r="T384" s="0" t="str">
        <f aca="false">IF($A384="","",IF($I384="Completed",ROW(),""))</f>
        <v/>
      </c>
      <c r="U384" s="0" t="str">
        <f aca="false">IF($A384="","",IF(OR($I384="Not Started",$I384="Planning",$I384="Blocked"),ROW(),""))</f>
        <v/>
      </c>
    </row>
    <row r="385" customFormat="false" ht="15" hidden="false" customHeight="false" outlineLevel="0" collapsed="false">
      <c r="B385" s="3"/>
      <c r="F385" s="3"/>
      <c r="G385" s="3"/>
      <c r="H385" s="3"/>
      <c r="I385" s="3"/>
      <c r="J385" s="37" t="str">
        <f aca="false">IF($A385="","",IFERROR(INDEX(Lists!$B$2:$B$10,MATCH($I385,Lists!$A$2:$A$10,0)),""))</f>
        <v/>
      </c>
      <c r="N385" s="0" t="str">
        <f aca="false">IF($A385="","",$L385-$K385+1)</f>
        <v/>
      </c>
      <c r="O385" s="39" t="str">
        <f aca="true">IF($A385="","",IF(OR($I385="Completed",$I385="Cancelled"),0,$L385-TODAY()))</f>
        <v/>
      </c>
      <c r="Q385" s="3"/>
      <c r="S385" s="0" t="str">
        <f aca="false">IF($A385="","",IF(AND($O385&lt;0,$I385&lt;&gt;"Completed",$I385&lt;&gt;"Cancelled"),1,0))</f>
        <v/>
      </c>
      <c r="T385" s="0" t="str">
        <f aca="false">IF($A385="","",IF($I385="Completed",ROW(),""))</f>
        <v/>
      </c>
      <c r="U385" s="0" t="str">
        <f aca="false">IF($A385="","",IF(OR($I385="Not Started",$I385="Planning",$I385="Blocked"),ROW(),""))</f>
        <v/>
      </c>
    </row>
    <row r="386" customFormat="false" ht="15" hidden="false" customHeight="false" outlineLevel="0" collapsed="false">
      <c r="B386" s="3"/>
      <c r="F386" s="3"/>
      <c r="G386" s="3"/>
      <c r="H386" s="3"/>
      <c r="I386" s="3"/>
      <c r="J386" s="37" t="str">
        <f aca="false">IF($A386="","",IFERROR(INDEX(Lists!$B$2:$B$10,MATCH($I386,Lists!$A$2:$A$10,0)),""))</f>
        <v/>
      </c>
      <c r="N386" s="0" t="str">
        <f aca="false">IF($A386="","",$L386-$K386+1)</f>
        <v/>
      </c>
      <c r="O386" s="39" t="str">
        <f aca="true">IF($A386="","",IF(OR($I386="Completed",$I386="Cancelled"),0,$L386-TODAY()))</f>
        <v/>
      </c>
      <c r="Q386" s="3"/>
      <c r="S386" s="0" t="str">
        <f aca="false">IF($A386="","",IF(AND($O386&lt;0,$I386&lt;&gt;"Completed",$I386&lt;&gt;"Cancelled"),1,0))</f>
        <v/>
      </c>
      <c r="T386" s="0" t="str">
        <f aca="false">IF($A386="","",IF($I386="Completed",ROW(),""))</f>
        <v/>
      </c>
      <c r="U386" s="0" t="str">
        <f aca="false">IF($A386="","",IF(OR($I386="Not Started",$I386="Planning",$I386="Blocked"),ROW(),""))</f>
        <v/>
      </c>
    </row>
    <row r="387" customFormat="false" ht="15" hidden="false" customHeight="false" outlineLevel="0" collapsed="false">
      <c r="B387" s="3"/>
      <c r="F387" s="3"/>
      <c r="G387" s="3"/>
      <c r="H387" s="3"/>
      <c r="I387" s="3"/>
      <c r="J387" s="37" t="str">
        <f aca="false">IF($A387="","",IFERROR(INDEX(Lists!$B$2:$B$10,MATCH($I387,Lists!$A$2:$A$10,0)),""))</f>
        <v/>
      </c>
      <c r="N387" s="0" t="str">
        <f aca="false">IF($A387="","",$L387-$K387+1)</f>
        <v/>
      </c>
      <c r="O387" s="39" t="str">
        <f aca="true">IF($A387="","",IF(OR($I387="Completed",$I387="Cancelled"),0,$L387-TODAY()))</f>
        <v/>
      </c>
      <c r="Q387" s="3"/>
      <c r="S387" s="0" t="str">
        <f aca="false">IF($A387="","",IF(AND($O387&lt;0,$I387&lt;&gt;"Completed",$I387&lt;&gt;"Cancelled"),1,0))</f>
        <v/>
      </c>
      <c r="T387" s="0" t="str">
        <f aca="false">IF($A387="","",IF($I387="Completed",ROW(),""))</f>
        <v/>
      </c>
      <c r="U387" s="0" t="str">
        <f aca="false">IF($A387="","",IF(OR($I387="Not Started",$I387="Planning",$I387="Blocked"),ROW(),""))</f>
        <v/>
      </c>
    </row>
    <row r="388" customFormat="false" ht="15" hidden="false" customHeight="false" outlineLevel="0" collapsed="false">
      <c r="B388" s="3"/>
      <c r="F388" s="3"/>
      <c r="G388" s="3"/>
      <c r="H388" s="3"/>
      <c r="I388" s="3"/>
      <c r="J388" s="37" t="str">
        <f aca="false">IF($A388="","",IFERROR(INDEX(Lists!$B$2:$B$10,MATCH($I388,Lists!$A$2:$A$10,0)),""))</f>
        <v/>
      </c>
      <c r="N388" s="0" t="str">
        <f aca="false">IF($A388="","",$L388-$K388+1)</f>
        <v/>
      </c>
      <c r="O388" s="39" t="str">
        <f aca="true">IF($A388="","",IF(OR($I388="Completed",$I388="Cancelled"),0,$L388-TODAY()))</f>
        <v/>
      </c>
      <c r="Q388" s="3"/>
      <c r="S388" s="0" t="str">
        <f aca="false">IF($A388="","",IF(AND($O388&lt;0,$I388&lt;&gt;"Completed",$I388&lt;&gt;"Cancelled"),1,0))</f>
        <v/>
      </c>
      <c r="T388" s="0" t="str">
        <f aca="false">IF($A388="","",IF($I388="Completed",ROW(),""))</f>
        <v/>
      </c>
      <c r="U388" s="0" t="str">
        <f aca="false">IF($A388="","",IF(OR($I388="Not Started",$I388="Planning",$I388="Blocked"),ROW(),""))</f>
        <v/>
      </c>
    </row>
    <row r="389" customFormat="false" ht="15" hidden="false" customHeight="false" outlineLevel="0" collapsed="false">
      <c r="B389" s="3"/>
      <c r="F389" s="3"/>
      <c r="G389" s="3"/>
      <c r="H389" s="3"/>
      <c r="I389" s="3"/>
      <c r="J389" s="37" t="str">
        <f aca="false">IF($A389="","",IFERROR(INDEX(Lists!$B$2:$B$10,MATCH($I389,Lists!$A$2:$A$10,0)),""))</f>
        <v/>
      </c>
      <c r="N389" s="0" t="str">
        <f aca="false">IF($A389="","",$L389-$K389+1)</f>
        <v/>
      </c>
      <c r="O389" s="39" t="str">
        <f aca="true">IF($A389="","",IF(OR($I389="Completed",$I389="Cancelled"),0,$L389-TODAY()))</f>
        <v/>
      </c>
      <c r="Q389" s="3"/>
      <c r="S389" s="0" t="str">
        <f aca="false">IF($A389="","",IF(AND($O389&lt;0,$I389&lt;&gt;"Completed",$I389&lt;&gt;"Cancelled"),1,0))</f>
        <v/>
      </c>
      <c r="T389" s="0" t="str">
        <f aca="false">IF($A389="","",IF($I389="Completed",ROW(),""))</f>
        <v/>
      </c>
      <c r="U389" s="0" t="str">
        <f aca="false">IF($A389="","",IF(OR($I389="Not Started",$I389="Planning",$I389="Blocked"),ROW(),""))</f>
        <v/>
      </c>
    </row>
    <row r="390" customFormat="false" ht="15" hidden="false" customHeight="false" outlineLevel="0" collapsed="false">
      <c r="B390" s="3"/>
      <c r="F390" s="3"/>
      <c r="G390" s="3"/>
      <c r="H390" s="3"/>
      <c r="I390" s="3"/>
      <c r="J390" s="37" t="str">
        <f aca="false">IF($A390="","",IFERROR(INDEX(Lists!$B$2:$B$10,MATCH($I390,Lists!$A$2:$A$10,0)),""))</f>
        <v/>
      </c>
      <c r="N390" s="0" t="str">
        <f aca="false">IF($A390="","",$L390-$K390+1)</f>
        <v/>
      </c>
      <c r="O390" s="39" t="str">
        <f aca="true">IF($A390="","",IF(OR($I390="Completed",$I390="Cancelled"),0,$L390-TODAY()))</f>
        <v/>
      </c>
      <c r="Q390" s="3"/>
      <c r="S390" s="0" t="str">
        <f aca="false">IF($A390="","",IF(AND($O390&lt;0,$I390&lt;&gt;"Completed",$I390&lt;&gt;"Cancelled"),1,0))</f>
        <v/>
      </c>
      <c r="T390" s="0" t="str">
        <f aca="false">IF($A390="","",IF($I390="Completed",ROW(),""))</f>
        <v/>
      </c>
      <c r="U390" s="0" t="str">
        <f aca="false">IF($A390="","",IF(OR($I390="Not Started",$I390="Planning",$I390="Blocked"),ROW(),""))</f>
        <v/>
      </c>
    </row>
    <row r="391" customFormat="false" ht="15" hidden="false" customHeight="false" outlineLevel="0" collapsed="false">
      <c r="B391" s="3"/>
      <c r="F391" s="3"/>
      <c r="G391" s="3"/>
      <c r="H391" s="3"/>
      <c r="I391" s="3"/>
      <c r="J391" s="37" t="str">
        <f aca="false">IF($A391="","",IFERROR(INDEX(Lists!$B$2:$B$10,MATCH($I391,Lists!$A$2:$A$10,0)),""))</f>
        <v/>
      </c>
      <c r="N391" s="0" t="str">
        <f aca="false">IF($A391="","",$L391-$K391+1)</f>
        <v/>
      </c>
      <c r="O391" s="39" t="str">
        <f aca="true">IF($A391="","",IF(OR($I391="Completed",$I391="Cancelled"),0,$L391-TODAY()))</f>
        <v/>
      </c>
      <c r="Q391" s="3"/>
      <c r="S391" s="0" t="str">
        <f aca="false">IF($A391="","",IF(AND($O391&lt;0,$I391&lt;&gt;"Completed",$I391&lt;&gt;"Cancelled"),1,0))</f>
        <v/>
      </c>
      <c r="T391" s="0" t="str">
        <f aca="false">IF($A391="","",IF($I391="Completed",ROW(),""))</f>
        <v/>
      </c>
      <c r="U391" s="0" t="str">
        <f aca="false">IF($A391="","",IF(OR($I391="Not Started",$I391="Planning",$I391="Blocked"),ROW(),""))</f>
        <v/>
      </c>
    </row>
    <row r="392" customFormat="false" ht="15" hidden="false" customHeight="false" outlineLevel="0" collapsed="false">
      <c r="B392" s="3"/>
      <c r="F392" s="3"/>
      <c r="G392" s="3"/>
      <c r="H392" s="3"/>
      <c r="I392" s="3"/>
      <c r="J392" s="37" t="str">
        <f aca="false">IF($A392="","",IFERROR(INDEX(Lists!$B$2:$B$10,MATCH($I392,Lists!$A$2:$A$10,0)),""))</f>
        <v/>
      </c>
      <c r="N392" s="0" t="str">
        <f aca="false">IF($A392="","",$L392-$K392+1)</f>
        <v/>
      </c>
      <c r="O392" s="39" t="str">
        <f aca="true">IF($A392="","",IF(OR($I392="Completed",$I392="Cancelled"),0,$L392-TODAY()))</f>
        <v/>
      </c>
      <c r="Q392" s="3"/>
      <c r="S392" s="0" t="str">
        <f aca="false">IF($A392="","",IF(AND($O392&lt;0,$I392&lt;&gt;"Completed",$I392&lt;&gt;"Cancelled"),1,0))</f>
        <v/>
      </c>
      <c r="T392" s="0" t="str">
        <f aca="false">IF($A392="","",IF($I392="Completed",ROW(),""))</f>
        <v/>
      </c>
      <c r="U392" s="0" t="str">
        <f aca="false">IF($A392="","",IF(OR($I392="Not Started",$I392="Planning",$I392="Blocked"),ROW(),""))</f>
        <v/>
      </c>
    </row>
    <row r="393" customFormat="false" ht="15" hidden="false" customHeight="false" outlineLevel="0" collapsed="false">
      <c r="B393" s="3"/>
      <c r="F393" s="3"/>
      <c r="G393" s="3"/>
      <c r="H393" s="3"/>
      <c r="I393" s="3"/>
      <c r="J393" s="37" t="str">
        <f aca="false">IF($A393="","",IFERROR(INDEX(Lists!$B$2:$B$10,MATCH($I393,Lists!$A$2:$A$10,0)),""))</f>
        <v/>
      </c>
      <c r="N393" s="0" t="str">
        <f aca="false">IF($A393="","",$L393-$K393+1)</f>
        <v/>
      </c>
      <c r="O393" s="39" t="str">
        <f aca="true">IF($A393="","",IF(OR($I393="Completed",$I393="Cancelled"),0,$L393-TODAY()))</f>
        <v/>
      </c>
      <c r="Q393" s="3"/>
      <c r="S393" s="0" t="str">
        <f aca="false">IF($A393="","",IF(AND($O393&lt;0,$I393&lt;&gt;"Completed",$I393&lt;&gt;"Cancelled"),1,0))</f>
        <v/>
      </c>
      <c r="T393" s="0" t="str">
        <f aca="false">IF($A393="","",IF($I393="Completed",ROW(),""))</f>
        <v/>
      </c>
      <c r="U393" s="0" t="str">
        <f aca="false">IF($A393="","",IF(OR($I393="Not Started",$I393="Planning",$I393="Blocked"),ROW(),""))</f>
        <v/>
      </c>
    </row>
    <row r="394" customFormat="false" ht="15" hidden="false" customHeight="false" outlineLevel="0" collapsed="false">
      <c r="B394" s="3"/>
      <c r="F394" s="3"/>
      <c r="G394" s="3"/>
      <c r="H394" s="3"/>
      <c r="I394" s="3"/>
      <c r="J394" s="37" t="str">
        <f aca="false">IF($A394="","",IFERROR(INDEX(Lists!$B$2:$B$10,MATCH($I394,Lists!$A$2:$A$10,0)),""))</f>
        <v/>
      </c>
      <c r="N394" s="0" t="str">
        <f aca="false">IF($A394="","",$L394-$K394+1)</f>
        <v/>
      </c>
      <c r="O394" s="39" t="str">
        <f aca="true">IF($A394="","",IF(OR($I394="Completed",$I394="Cancelled"),0,$L394-TODAY()))</f>
        <v/>
      </c>
      <c r="Q394" s="3"/>
      <c r="S394" s="0" t="str">
        <f aca="false">IF($A394="","",IF(AND($O394&lt;0,$I394&lt;&gt;"Completed",$I394&lt;&gt;"Cancelled"),1,0))</f>
        <v/>
      </c>
      <c r="T394" s="0" t="str">
        <f aca="false">IF($A394="","",IF($I394="Completed",ROW(),""))</f>
        <v/>
      </c>
      <c r="U394" s="0" t="str">
        <f aca="false">IF($A394="","",IF(OR($I394="Not Started",$I394="Planning",$I394="Blocked"),ROW(),""))</f>
        <v/>
      </c>
    </row>
    <row r="395" customFormat="false" ht="15" hidden="false" customHeight="false" outlineLevel="0" collapsed="false">
      <c r="B395" s="3"/>
      <c r="F395" s="3"/>
      <c r="G395" s="3"/>
      <c r="H395" s="3"/>
      <c r="I395" s="3"/>
      <c r="J395" s="37" t="str">
        <f aca="false">IF($A395="","",IFERROR(INDEX(Lists!$B$2:$B$10,MATCH($I395,Lists!$A$2:$A$10,0)),""))</f>
        <v/>
      </c>
      <c r="N395" s="0" t="str">
        <f aca="false">IF($A395="","",$L395-$K395+1)</f>
        <v/>
      </c>
      <c r="O395" s="39" t="str">
        <f aca="true">IF($A395="","",IF(OR($I395="Completed",$I395="Cancelled"),0,$L395-TODAY()))</f>
        <v/>
      </c>
      <c r="Q395" s="3"/>
      <c r="S395" s="0" t="str">
        <f aca="false">IF($A395="","",IF(AND($O395&lt;0,$I395&lt;&gt;"Completed",$I395&lt;&gt;"Cancelled"),1,0))</f>
        <v/>
      </c>
      <c r="T395" s="0" t="str">
        <f aca="false">IF($A395="","",IF($I395="Completed",ROW(),""))</f>
        <v/>
      </c>
      <c r="U395" s="0" t="str">
        <f aca="false">IF($A395="","",IF(OR($I395="Not Started",$I395="Planning",$I395="Blocked"),ROW(),""))</f>
        <v/>
      </c>
    </row>
    <row r="396" customFormat="false" ht="15" hidden="false" customHeight="false" outlineLevel="0" collapsed="false">
      <c r="B396" s="3"/>
      <c r="F396" s="3"/>
      <c r="G396" s="3"/>
      <c r="H396" s="3"/>
      <c r="I396" s="3"/>
      <c r="J396" s="37" t="str">
        <f aca="false">IF($A396="","",IFERROR(INDEX(Lists!$B$2:$B$10,MATCH($I396,Lists!$A$2:$A$10,0)),""))</f>
        <v/>
      </c>
      <c r="N396" s="0" t="str">
        <f aca="false">IF($A396="","",$L396-$K396+1)</f>
        <v/>
      </c>
      <c r="O396" s="39" t="str">
        <f aca="true">IF($A396="","",IF(OR($I396="Completed",$I396="Cancelled"),0,$L396-TODAY()))</f>
        <v/>
      </c>
      <c r="Q396" s="3"/>
      <c r="S396" s="0" t="str">
        <f aca="false">IF($A396="","",IF(AND($O396&lt;0,$I396&lt;&gt;"Completed",$I396&lt;&gt;"Cancelled"),1,0))</f>
        <v/>
      </c>
      <c r="T396" s="0" t="str">
        <f aca="false">IF($A396="","",IF($I396="Completed",ROW(),""))</f>
        <v/>
      </c>
      <c r="U396" s="0" t="str">
        <f aca="false">IF($A396="","",IF(OR($I396="Not Started",$I396="Planning",$I396="Blocked"),ROW(),""))</f>
        <v/>
      </c>
    </row>
    <row r="397" customFormat="false" ht="15" hidden="false" customHeight="false" outlineLevel="0" collapsed="false">
      <c r="B397" s="3"/>
      <c r="F397" s="3"/>
      <c r="G397" s="3"/>
      <c r="H397" s="3"/>
      <c r="I397" s="3"/>
      <c r="J397" s="37" t="str">
        <f aca="false">IF($A397="","",IFERROR(INDEX(Lists!$B$2:$B$10,MATCH($I397,Lists!$A$2:$A$10,0)),""))</f>
        <v/>
      </c>
      <c r="N397" s="0" t="str">
        <f aca="false">IF($A397="","",$L397-$K397+1)</f>
        <v/>
      </c>
      <c r="O397" s="39" t="str">
        <f aca="true">IF($A397="","",IF(OR($I397="Completed",$I397="Cancelled"),0,$L397-TODAY()))</f>
        <v/>
      </c>
      <c r="Q397" s="3"/>
      <c r="S397" s="0" t="str">
        <f aca="false">IF($A397="","",IF(AND($O397&lt;0,$I397&lt;&gt;"Completed",$I397&lt;&gt;"Cancelled"),1,0))</f>
        <v/>
      </c>
      <c r="T397" s="0" t="str">
        <f aca="false">IF($A397="","",IF($I397="Completed",ROW(),""))</f>
        <v/>
      </c>
      <c r="U397" s="0" t="str">
        <f aca="false">IF($A397="","",IF(OR($I397="Not Started",$I397="Planning",$I397="Blocked"),ROW(),""))</f>
        <v/>
      </c>
    </row>
    <row r="398" customFormat="false" ht="15" hidden="false" customHeight="false" outlineLevel="0" collapsed="false">
      <c r="B398" s="3"/>
      <c r="F398" s="3"/>
      <c r="G398" s="3"/>
      <c r="H398" s="3"/>
      <c r="I398" s="3"/>
      <c r="J398" s="37" t="str">
        <f aca="false">IF($A398="","",IFERROR(INDEX(Lists!$B$2:$B$10,MATCH($I398,Lists!$A$2:$A$10,0)),""))</f>
        <v/>
      </c>
      <c r="N398" s="0" t="str">
        <f aca="false">IF($A398="","",$L398-$K398+1)</f>
        <v/>
      </c>
      <c r="O398" s="39" t="str">
        <f aca="true">IF($A398="","",IF(OR($I398="Completed",$I398="Cancelled"),0,$L398-TODAY()))</f>
        <v/>
      </c>
      <c r="Q398" s="3"/>
      <c r="S398" s="0" t="str">
        <f aca="false">IF($A398="","",IF(AND($O398&lt;0,$I398&lt;&gt;"Completed",$I398&lt;&gt;"Cancelled"),1,0))</f>
        <v/>
      </c>
      <c r="T398" s="0" t="str">
        <f aca="false">IF($A398="","",IF($I398="Completed",ROW(),""))</f>
        <v/>
      </c>
      <c r="U398" s="0" t="str">
        <f aca="false">IF($A398="","",IF(OR($I398="Not Started",$I398="Planning",$I398="Blocked"),ROW(),""))</f>
        <v/>
      </c>
    </row>
    <row r="399" customFormat="false" ht="15" hidden="false" customHeight="false" outlineLevel="0" collapsed="false">
      <c r="B399" s="3"/>
      <c r="F399" s="3"/>
      <c r="G399" s="3"/>
      <c r="H399" s="3"/>
      <c r="I399" s="3"/>
      <c r="J399" s="37" t="str">
        <f aca="false">IF($A399="","",IFERROR(INDEX(Lists!$B$2:$B$10,MATCH($I399,Lists!$A$2:$A$10,0)),""))</f>
        <v/>
      </c>
      <c r="N399" s="0" t="str">
        <f aca="false">IF($A399="","",$L399-$K399+1)</f>
        <v/>
      </c>
      <c r="O399" s="39" t="str">
        <f aca="true">IF($A399="","",IF(OR($I399="Completed",$I399="Cancelled"),0,$L399-TODAY()))</f>
        <v/>
      </c>
      <c r="Q399" s="3"/>
      <c r="S399" s="0" t="str">
        <f aca="false">IF($A399="","",IF(AND($O399&lt;0,$I399&lt;&gt;"Completed",$I399&lt;&gt;"Cancelled"),1,0))</f>
        <v/>
      </c>
      <c r="T399" s="0" t="str">
        <f aca="false">IF($A399="","",IF($I399="Completed",ROW(),""))</f>
        <v/>
      </c>
      <c r="U399" s="0" t="str">
        <f aca="false">IF($A399="","",IF(OR($I399="Not Started",$I399="Planning",$I399="Blocked"),ROW(),""))</f>
        <v/>
      </c>
    </row>
    <row r="400" customFormat="false" ht="15" hidden="false" customHeight="false" outlineLevel="0" collapsed="false">
      <c r="B400" s="3"/>
      <c r="F400" s="3"/>
      <c r="G400" s="3"/>
      <c r="H400" s="3"/>
      <c r="I400" s="3"/>
      <c r="J400" s="37" t="str">
        <f aca="false">IF($A400="","",IFERROR(INDEX(Lists!$B$2:$B$10,MATCH($I400,Lists!$A$2:$A$10,0)),""))</f>
        <v/>
      </c>
      <c r="N400" s="0" t="str">
        <f aca="false">IF($A400="","",$L400-$K400+1)</f>
        <v/>
      </c>
      <c r="O400" s="39" t="str">
        <f aca="true">IF($A400="","",IF(OR($I400="Completed",$I400="Cancelled"),0,$L400-TODAY()))</f>
        <v/>
      </c>
      <c r="Q400" s="3"/>
      <c r="S400" s="0" t="str">
        <f aca="false">IF($A400="","",IF(AND($O400&lt;0,$I400&lt;&gt;"Completed",$I400&lt;&gt;"Cancelled"),1,0))</f>
        <v/>
      </c>
      <c r="T400" s="0" t="str">
        <f aca="false">IF($A400="","",IF($I400="Completed",ROW(),""))</f>
        <v/>
      </c>
      <c r="U400" s="0" t="str">
        <f aca="false">IF($A400="","",IF(OR($I400="Not Started",$I400="Planning",$I400="Blocked"),ROW(),""))</f>
        <v/>
      </c>
    </row>
    <row r="401" customFormat="false" ht="15" hidden="false" customHeight="false" outlineLevel="0" collapsed="false">
      <c r="B401" s="3"/>
      <c r="F401" s="3"/>
      <c r="G401" s="3"/>
      <c r="H401" s="3"/>
      <c r="I401" s="3"/>
      <c r="J401" s="37" t="str">
        <f aca="false">IF($A401="","",IFERROR(INDEX(Lists!$B$2:$B$10,MATCH($I401,Lists!$A$2:$A$10,0)),""))</f>
        <v/>
      </c>
      <c r="N401" s="0" t="str">
        <f aca="false">IF($A401="","",$L401-$K401+1)</f>
        <v/>
      </c>
      <c r="O401" s="39" t="str">
        <f aca="true">IF($A401="","",IF(OR($I401="Completed",$I401="Cancelled"),0,$L401-TODAY()))</f>
        <v/>
      </c>
      <c r="Q401" s="3"/>
      <c r="S401" s="0" t="str">
        <f aca="false">IF($A401="","",IF(AND($O401&lt;0,$I401&lt;&gt;"Completed",$I401&lt;&gt;"Cancelled"),1,0))</f>
        <v/>
      </c>
      <c r="T401" s="0" t="str">
        <f aca="false">IF($A401="","",IF($I401="Completed",ROW(),""))</f>
        <v/>
      </c>
      <c r="U401" s="0" t="str">
        <f aca="false">IF($A401="","",IF(OR($I401="Not Started",$I401="Planning",$I401="Blocked"),ROW(),""))</f>
        <v/>
      </c>
    </row>
    <row r="402" customFormat="false" ht="15" hidden="false" customHeight="false" outlineLevel="0" collapsed="false">
      <c r="B402" s="3"/>
      <c r="F402" s="3"/>
      <c r="G402" s="3"/>
      <c r="H402" s="3"/>
      <c r="I402" s="3"/>
      <c r="J402" s="37" t="str">
        <f aca="false">IF($A402="","",IFERROR(INDEX(Lists!$B$2:$B$10,MATCH($I402,Lists!$A$2:$A$10,0)),""))</f>
        <v/>
      </c>
      <c r="N402" s="0" t="str">
        <f aca="false">IF($A402="","",$L402-$K402+1)</f>
        <v/>
      </c>
      <c r="O402" s="39" t="str">
        <f aca="true">IF($A402="","",IF(OR($I402="Completed",$I402="Cancelled"),0,$L402-TODAY()))</f>
        <v/>
      </c>
      <c r="Q402" s="3"/>
      <c r="S402" s="0" t="str">
        <f aca="false">IF($A402="","",IF(AND($O402&lt;0,$I402&lt;&gt;"Completed",$I402&lt;&gt;"Cancelled"),1,0))</f>
        <v/>
      </c>
      <c r="T402" s="0" t="str">
        <f aca="false">IF($A402="","",IF($I402="Completed",ROW(),""))</f>
        <v/>
      </c>
      <c r="U402" s="0" t="str">
        <f aca="false">IF($A402="","",IF(OR($I402="Not Started",$I402="Planning",$I402="Blocked"),ROW(),""))</f>
        <v/>
      </c>
    </row>
    <row r="403" customFormat="false" ht="15" hidden="false" customHeight="false" outlineLevel="0" collapsed="false">
      <c r="B403" s="3"/>
      <c r="F403" s="3"/>
      <c r="G403" s="3"/>
      <c r="H403" s="3"/>
      <c r="I403" s="3"/>
      <c r="J403" s="37" t="str">
        <f aca="false">IF($A403="","",IFERROR(INDEX(Lists!$B$2:$B$10,MATCH($I403,Lists!$A$2:$A$10,0)),""))</f>
        <v/>
      </c>
      <c r="N403" s="0" t="str">
        <f aca="false">IF($A403="","",$L403-$K403+1)</f>
        <v/>
      </c>
      <c r="O403" s="39" t="str">
        <f aca="true">IF($A403="","",IF(OR($I403="Completed",$I403="Cancelled"),0,$L403-TODAY()))</f>
        <v/>
      </c>
      <c r="Q403" s="3"/>
      <c r="S403" s="0" t="str">
        <f aca="false">IF($A403="","",IF(AND($O403&lt;0,$I403&lt;&gt;"Completed",$I403&lt;&gt;"Cancelled"),1,0))</f>
        <v/>
      </c>
      <c r="T403" s="0" t="str">
        <f aca="false">IF($A403="","",IF($I403="Completed",ROW(),""))</f>
        <v/>
      </c>
      <c r="U403" s="0" t="str">
        <f aca="false">IF($A403="","",IF(OR($I403="Not Started",$I403="Planning",$I403="Blocked"),ROW(),""))</f>
        <v/>
      </c>
    </row>
    <row r="404" customFormat="false" ht="15" hidden="false" customHeight="false" outlineLevel="0" collapsed="false">
      <c r="B404" s="3"/>
      <c r="F404" s="3"/>
      <c r="G404" s="3"/>
      <c r="H404" s="3"/>
      <c r="I404" s="3"/>
      <c r="J404" s="37" t="str">
        <f aca="false">IF($A404="","",IFERROR(INDEX(Lists!$B$2:$B$10,MATCH($I404,Lists!$A$2:$A$10,0)),""))</f>
        <v/>
      </c>
      <c r="N404" s="0" t="str">
        <f aca="false">IF($A404="","",$L404-$K404+1)</f>
        <v/>
      </c>
      <c r="O404" s="39" t="str">
        <f aca="true">IF($A404="","",IF(OR($I404="Completed",$I404="Cancelled"),0,$L404-TODAY()))</f>
        <v/>
      </c>
      <c r="Q404" s="3"/>
      <c r="S404" s="0" t="str">
        <f aca="false">IF($A404="","",IF(AND($O404&lt;0,$I404&lt;&gt;"Completed",$I404&lt;&gt;"Cancelled"),1,0))</f>
        <v/>
      </c>
      <c r="T404" s="0" t="str">
        <f aca="false">IF($A404="","",IF($I404="Completed",ROW(),""))</f>
        <v/>
      </c>
      <c r="U404" s="0" t="str">
        <f aca="false">IF($A404="","",IF(OR($I404="Not Started",$I404="Planning",$I404="Blocked"),ROW(),""))</f>
        <v/>
      </c>
    </row>
    <row r="405" customFormat="false" ht="15" hidden="false" customHeight="false" outlineLevel="0" collapsed="false">
      <c r="B405" s="3"/>
      <c r="F405" s="3"/>
      <c r="G405" s="3"/>
      <c r="H405" s="3"/>
      <c r="I405" s="3"/>
      <c r="J405" s="37" t="str">
        <f aca="false">IF($A405="","",IFERROR(INDEX(Lists!$B$2:$B$10,MATCH($I405,Lists!$A$2:$A$10,0)),""))</f>
        <v/>
      </c>
      <c r="N405" s="0" t="str">
        <f aca="false">IF($A405="","",$L405-$K405+1)</f>
        <v/>
      </c>
      <c r="O405" s="39" t="str">
        <f aca="true">IF($A405="","",IF(OR($I405="Completed",$I405="Cancelled"),0,$L405-TODAY()))</f>
        <v/>
      </c>
      <c r="Q405" s="3"/>
      <c r="S405" s="0" t="str">
        <f aca="false">IF($A405="","",IF(AND($O405&lt;0,$I405&lt;&gt;"Completed",$I405&lt;&gt;"Cancelled"),1,0))</f>
        <v/>
      </c>
      <c r="T405" s="0" t="str">
        <f aca="false">IF($A405="","",IF($I405="Completed",ROW(),""))</f>
        <v/>
      </c>
      <c r="U405" s="0" t="str">
        <f aca="false">IF($A405="","",IF(OR($I405="Not Started",$I405="Planning",$I405="Blocked"),ROW(),""))</f>
        <v/>
      </c>
    </row>
    <row r="406" customFormat="false" ht="15" hidden="false" customHeight="false" outlineLevel="0" collapsed="false">
      <c r="B406" s="3"/>
      <c r="F406" s="3"/>
      <c r="G406" s="3"/>
      <c r="H406" s="3"/>
      <c r="I406" s="3"/>
      <c r="J406" s="37" t="str">
        <f aca="false">IF($A406="","",IFERROR(INDEX(Lists!$B$2:$B$10,MATCH($I406,Lists!$A$2:$A$10,0)),""))</f>
        <v/>
      </c>
      <c r="N406" s="0" t="str">
        <f aca="false">IF($A406="","",$L406-$K406+1)</f>
        <v/>
      </c>
      <c r="O406" s="39" t="str">
        <f aca="true">IF($A406="","",IF(OR($I406="Completed",$I406="Cancelled"),0,$L406-TODAY()))</f>
        <v/>
      </c>
      <c r="Q406" s="3"/>
      <c r="S406" s="0" t="str">
        <f aca="false">IF($A406="","",IF(AND($O406&lt;0,$I406&lt;&gt;"Completed",$I406&lt;&gt;"Cancelled"),1,0))</f>
        <v/>
      </c>
      <c r="T406" s="0" t="str">
        <f aca="false">IF($A406="","",IF($I406="Completed",ROW(),""))</f>
        <v/>
      </c>
      <c r="U406" s="0" t="str">
        <f aca="false">IF($A406="","",IF(OR($I406="Not Started",$I406="Planning",$I406="Blocked"),ROW(),""))</f>
        <v/>
      </c>
    </row>
    <row r="407" customFormat="false" ht="15" hidden="false" customHeight="false" outlineLevel="0" collapsed="false">
      <c r="B407" s="3"/>
      <c r="F407" s="3"/>
      <c r="G407" s="3"/>
      <c r="H407" s="3"/>
      <c r="I407" s="3"/>
      <c r="J407" s="37" t="str">
        <f aca="false">IF($A407="","",IFERROR(INDEX(Lists!$B$2:$B$10,MATCH($I407,Lists!$A$2:$A$10,0)),""))</f>
        <v/>
      </c>
      <c r="N407" s="0" t="str">
        <f aca="false">IF($A407="","",$L407-$K407+1)</f>
        <v/>
      </c>
      <c r="O407" s="39" t="str">
        <f aca="true">IF($A407="","",IF(OR($I407="Completed",$I407="Cancelled"),0,$L407-TODAY()))</f>
        <v/>
      </c>
      <c r="Q407" s="3"/>
      <c r="S407" s="0" t="str">
        <f aca="false">IF($A407="","",IF(AND($O407&lt;0,$I407&lt;&gt;"Completed",$I407&lt;&gt;"Cancelled"),1,0))</f>
        <v/>
      </c>
      <c r="T407" s="0" t="str">
        <f aca="false">IF($A407="","",IF($I407="Completed",ROW(),""))</f>
        <v/>
      </c>
      <c r="U407" s="0" t="str">
        <f aca="false">IF($A407="","",IF(OR($I407="Not Started",$I407="Planning",$I407="Blocked"),ROW(),""))</f>
        <v/>
      </c>
    </row>
    <row r="408" customFormat="false" ht="15" hidden="false" customHeight="false" outlineLevel="0" collapsed="false">
      <c r="B408" s="3"/>
      <c r="F408" s="3"/>
      <c r="G408" s="3"/>
      <c r="H408" s="3"/>
      <c r="I408" s="3"/>
      <c r="J408" s="37" t="str">
        <f aca="false">IF($A408="","",IFERROR(INDEX(Lists!$B$2:$B$10,MATCH($I408,Lists!$A$2:$A$10,0)),""))</f>
        <v/>
      </c>
      <c r="N408" s="0" t="str">
        <f aca="false">IF($A408="","",$L408-$K408+1)</f>
        <v/>
      </c>
      <c r="O408" s="39" t="str">
        <f aca="true">IF($A408="","",IF(OR($I408="Completed",$I408="Cancelled"),0,$L408-TODAY()))</f>
        <v/>
      </c>
      <c r="Q408" s="3"/>
      <c r="S408" s="0" t="str">
        <f aca="false">IF($A408="","",IF(AND($O408&lt;0,$I408&lt;&gt;"Completed",$I408&lt;&gt;"Cancelled"),1,0))</f>
        <v/>
      </c>
      <c r="T408" s="0" t="str">
        <f aca="false">IF($A408="","",IF($I408="Completed",ROW(),""))</f>
        <v/>
      </c>
      <c r="U408" s="0" t="str">
        <f aca="false">IF($A408="","",IF(OR($I408="Not Started",$I408="Planning",$I408="Blocked"),ROW(),""))</f>
        <v/>
      </c>
    </row>
    <row r="409" customFormat="false" ht="15" hidden="false" customHeight="false" outlineLevel="0" collapsed="false">
      <c r="B409" s="3"/>
      <c r="F409" s="3"/>
      <c r="G409" s="3"/>
      <c r="H409" s="3"/>
      <c r="I409" s="3"/>
      <c r="J409" s="37" t="str">
        <f aca="false">IF($A409="","",IFERROR(INDEX(Lists!$B$2:$B$10,MATCH($I409,Lists!$A$2:$A$10,0)),""))</f>
        <v/>
      </c>
      <c r="N409" s="0" t="str">
        <f aca="false">IF($A409="","",$L409-$K409+1)</f>
        <v/>
      </c>
      <c r="O409" s="39" t="str">
        <f aca="true">IF($A409="","",IF(OR($I409="Completed",$I409="Cancelled"),0,$L409-TODAY()))</f>
        <v/>
      </c>
      <c r="Q409" s="3"/>
      <c r="S409" s="0" t="str">
        <f aca="false">IF($A409="","",IF(AND($O409&lt;0,$I409&lt;&gt;"Completed",$I409&lt;&gt;"Cancelled"),1,0))</f>
        <v/>
      </c>
      <c r="T409" s="0" t="str">
        <f aca="false">IF($A409="","",IF($I409="Completed",ROW(),""))</f>
        <v/>
      </c>
      <c r="U409" s="0" t="str">
        <f aca="false">IF($A409="","",IF(OR($I409="Not Started",$I409="Planning",$I409="Blocked"),ROW(),""))</f>
        <v/>
      </c>
    </row>
    <row r="410" customFormat="false" ht="15" hidden="false" customHeight="false" outlineLevel="0" collapsed="false">
      <c r="B410" s="3"/>
      <c r="F410" s="3"/>
      <c r="G410" s="3"/>
      <c r="H410" s="3"/>
      <c r="I410" s="3"/>
      <c r="J410" s="37" t="str">
        <f aca="false">IF($A410="","",IFERROR(INDEX(Lists!$B$2:$B$10,MATCH($I410,Lists!$A$2:$A$10,0)),""))</f>
        <v/>
      </c>
      <c r="N410" s="0" t="str">
        <f aca="false">IF($A410="","",$L410-$K410+1)</f>
        <v/>
      </c>
      <c r="O410" s="39" t="str">
        <f aca="true">IF($A410="","",IF(OR($I410="Completed",$I410="Cancelled"),0,$L410-TODAY()))</f>
        <v/>
      </c>
      <c r="Q410" s="3"/>
      <c r="S410" s="0" t="str">
        <f aca="false">IF($A410="","",IF(AND($O410&lt;0,$I410&lt;&gt;"Completed",$I410&lt;&gt;"Cancelled"),1,0))</f>
        <v/>
      </c>
      <c r="T410" s="0" t="str">
        <f aca="false">IF($A410="","",IF($I410="Completed",ROW(),""))</f>
        <v/>
      </c>
      <c r="U410" s="0" t="str">
        <f aca="false">IF($A410="","",IF(OR($I410="Not Started",$I410="Planning",$I410="Blocked"),ROW(),""))</f>
        <v/>
      </c>
    </row>
    <row r="411" customFormat="false" ht="15" hidden="false" customHeight="false" outlineLevel="0" collapsed="false">
      <c r="B411" s="3"/>
      <c r="F411" s="3"/>
      <c r="G411" s="3"/>
      <c r="H411" s="3"/>
      <c r="I411" s="3"/>
      <c r="J411" s="37" t="str">
        <f aca="false">IF($A411="","",IFERROR(INDEX(Lists!$B$2:$B$10,MATCH($I411,Lists!$A$2:$A$10,0)),""))</f>
        <v/>
      </c>
      <c r="N411" s="0" t="str">
        <f aca="false">IF($A411="","",$L411-$K411+1)</f>
        <v/>
      </c>
      <c r="O411" s="39" t="str">
        <f aca="true">IF($A411="","",IF(OR($I411="Completed",$I411="Cancelled"),0,$L411-TODAY()))</f>
        <v/>
      </c>
      <c r="Q411" s="3"/>
      <c r="S411" s="0" t="str">
        <f aca="false">IF($A411="","",IF(AND($O411&lt;0,$I411&lt;&gt;"Completed",$I411&lt;&gt;"Cancelled"),1,0))</f>
        <v/>
      </c>
      <c r="T411" s="0" t="str">
        <f aca="false">IF($A411="","",IF($I411="Completed",ROW(),""))</f>
        <v/>
      </c>
      <c r="U411" s="0" t="str">
        <f aca="false">IF($A411="","",IF(OR($I411="Not Started",$I411="Planning",$I411="Blocked"),ROW(),""))</f>
        <v/>
      </c>
    </row>
    <row r="412" customFormat="false" ht="15" hidden="false" customHeight="false" outlineLevel="0" collapsed="false">
      <c r="B412" s="3"/>
      <c r="F412" s="3"/>
      <c r="G412" s="3"/>
      <c r="H412" s="3"/>
      <c r="I412" s="3"/>
      <c r="J412" s="37" t="str">
        <f aca="false">IF($A412="","",IFERROR(INDEX(Lists!$B$2:$B$10,MATCH($I412,Lists!$A$2:$A$10,0)),""))</f>
        <v/>
      </c>
      <c r="N412" s="0" t="str">
        <f aca="false">IF($A412="","",$L412-$K412+1)</f>
        <v/>
      </c>
      <c r="O412" s="39" t="str">
        <f aca="true">IF($A412="","",IF(OR($I412="Completed",$I412="Cancelled"),0,$L412-TODAY()))</f>
        <v/>
      </c>
      <c r="Q412" s="3"/>
      <c r="S412" s="0" t="str">
        <f aca="false">IF($A412="","",IF(AND($O412&lt;0,$I412&lt;&gt;"Completed",$I412&lt;&gt;"Cancelled"),1,0))</f>
        <v/>
      </c>
      <c r="T412" s="0" t="str">
        <f aca="false">IF($A412="","",IF($I412="Completed",ROW(),""))</f>
        <v/>
      </c>
      <c r="U412" s="0" t="str">
        <f aca="false">IF($A412="","",IF(OR($I412="Not Started",$I412="Planning",$I412="Blocked"),ROW(),""))</f>
        <v/>
      </c>
    </row>
    <row r="413" customFormat="false" ht="15" hidden="false" customHeight="false" outlineLevel="0" collapsed="false">
      <c r="B413" s="3"/>
      <c r="F413" s="3"/>
      <c r="G413" s="3"/>
      <c r="H413" s="3"/>
      <c r="I413" s="3"/>
      <c r="J413" s="37" t="str">
        <f aca="false">IF($A413="","",IFERROR(INDEX(Lists!$B$2:$B$10,MATCH($I413,Lists!$A$2:$A$10,0)),""))</f>
        <v/>
      </c>
      <c r="N413" s="0" t="str">
        <f aca="false">IF($A413="","",$L413-$K413+1)</f>
        <v/>
      </c>
      <c r="O413" s="39" t="str">
        <f aca="true">IF($A413="","",IF(OR($I413="Completed",$I413="Cancelled"),0,$L413-TODAY()))</f>
        <v/>
      </c>
      <c r="Q413" s="3"/>
      <c r="S413" s="0" t="str">
        <f aca="false">IF($A413="","",IF(AND($O413&lt;0,$I413&lt;&gt;"Completed",$I413&lt;&gt;"Cancelled"),1,0))</f>
        <v/>
      </c>
      <c r="T413" s="0" t="str">
        <f aca="false">IF($A413="","",IF($I413="Completed",ROW(),""))</f>
        <v/>
      </c>
      <c r="U413" s="0" t="str">
        <f aca="false">IF($A413="","",IF(OR($I413="Not Started",$I413="Planning",$I413="Blocked"),ROW(),""))</f>
        <v/>
      </c>
    </row>
    <row r="414" customFormat="false" ht="15" hidden="false" customHeight="false" outlineLevel="0" collapsed="false">
      <c r="B414" s="3"/>
      <c r="F414" s="3"/>
      <c r="G414" s="3"/>
      <c r="H414" s="3"/>
      <c r="I414" s="3"/>
      <c r="J414" s="37" t="str">
        <f aca="false">IF($A414="","",IFERROR(INDEX(Lists!$B$2:$B$10,MATCH($I414,Lists!$A$2:$A$10,0)),""))</f>
        <v/>
      </c>
      <c r="N414" s="0" t="str">
        <f aca="false">IF($A414="","",$L414-$K414+1)</f>
        <v/>
      </c>
      <c r="O414" s="39" t="str">
        <f aca="true">IF($A414="","",IF(OR($I414="Completed",$I414="Cancelled"),0,$L414-TODAY()))</f>
        <v/>
      </c>
      <c r="Q414" s="3"/>
      <c r="S414" s="0" t="str">
        <f aca="false">IF($A414="","",IF(AND($O414&lt;0,$I414&lt;&gt;"Completed",$I414&lt;&gt;"Cancelled"),1,0))</f>
        <v/>
      </c>
      <c r="T414" s="0" t="str">
        <f aca="false">IF($A414="","",IF($I414="Completed",ROW(),""))</f>
        <v/>
      </c>
      <c r="U414" s="0" t="str">
        <f aca="false">IF($A414="","",IF(OR($I414="Not Started",$I414="Planning",$I414="Blocked"),ROW(),""))</f>
        <v/>
      </c>
    </row>
    <row r="415" customFormat="false" ht="15" hidden="false" customHeight="false" outlineLevel="0" collapsed="false">
      <c r="B415" s="3"/>
      <c r="F415" s="3"/>
      <c r="G415" s="3"/>
      <c r="H415" s="3"/>
      <c r="I415" s="3"/>
      <c r="J415" s="37" t="str">
        <f aca="false">IF($A415="","",IFERROR(INDEX(Lists!$B$2:$B$10,MATCH($I415,Lists!$A$2:$A$10,0)),""))</f>
        <v/>
      </c>
      <c r="N415" s="0" t="str">
        <f aca="false">IF($A415="","",$L415-$K415+1)</f>
        <v/>
      </c>
      <c r="O415" s="39" t="str">
        <f aca="true">IF($A415="","",IF(OR($I415="Completed",$I415="Cancelled"),0,$L415-TODAY()))</f>
        <v/>
      </c>
      <c r="Q415" s="3"/>
      <c r="S415" s="0" t="str">
        <f aca="false">IF($A415="","",IF(AND($O415&lt;0,$I415&lt;&gt;"Completed",$I415&lt;&gt;"Cancelled"),1,0))</f>
        <v/>
      </c>
      <c r="T415" s="0" t="str">
        <f aca="false">IF($A415="","",IF($I415="Completed",ROW(),""))</f>
        <v/>
      </c>
      <c r="U415" s="0" t="str">
        <f aca="false">IF($A415="","",IF(OR($I415="Not Started",$I415="Planning",$I415="Blocked"),ROW(),""))</f>
        <v/>
      </c>
    </row>
    <row r="416" customFormat="false" ht="15" hidden="false" customHeight="false" outlineLevel="0" collapsed="false">
      <c r="B416" s="3"/>
      <c r="F416" s="3"/>
      <c r="G416" s="3"/>
      <c r="H416" s="3"/>
      <c r="I416" s="3"/>
      <c r="J416" s="37" t="str">
        <f aca="false">IF($A416="","",IFERROR(INDEX(Lists!$B$2:$B$10,MATCH($I416,Lists!$A$2:$A$10,0)),""))</f>
        <v/>
      </c>
      <c r="N416" s="0" t="str">
        <f aca="false">IF($A416="","",$L416-$K416+1)</f>
        <v/>
      </c>
      <c r="O416" s="39" t="str">
        <f aca="true">IF($A416="","",IF(OR($I416="Completed",$I416="Cancelled"),0,$L416-TODAY()))</f>
        <v/>
      </c>
      <c r="Q416" s="3"/>
      <c r="S416" s="0" t="str">
        <f aca="false">IF($A416="","",IF(AND($O416&lt;0,$I416&lt;&gt;"Completed",$I416&lt;&gt;"Cancelled"),1,0))</f>
        <v/>
      </c>
      <c r="T416" s="0" t="str">
        <f aca="false">IF($A416="","",IF($I416="Completed",ROW(),""))</f>
        <v/>
      </c>
      <c r="U416" s="0" t="str">
        <f aca="false">IF($A416="","",IF(OR($I416="Not Started",$I416="Planning",$I416="Blocked"),ROW(),""))</f>
        <v/>
      </c>
    </row>
    <row r="417" customFormat="false" ht="15" hidden="false" customHeight="false" outlineLevel="0" collapsed="false">
      <c r="B417" s="3"/>
      <c r="F417" s="3"/>
      <c r="G417" s="3"/>
      <c r="H417" s="3"/>
      <c r="I417" s="3"/>
      <c r="J417" s="37" t="str">
        <f aca="false">IF($A417="","",IFERROR(INDEX(Lists!$B$2:$B$10,MATCH($I417,Lists!$A$2:$A$10,0)),""))</f>
        <v/>
      </c>
      <c r="N417" s="0" t="str">
        <f aca="false">IF($A417="","",$L417-$K417+1)</f>
        <v/>
      </c>
      <c r="O417" s="39" t="str">
        <f aca="true">IF($A417="","",IF(OR($I417="Completed",$I417="Cancelled"),0,$L417-TODAY()))</f>
        <v/>
      </c>
      <c r="Q417" s="3"/>
      <c r="S417" s="0" t="str">
        <f aca="false">IF($A417="","",IF(AND($O417&lt;0,$I417&lt;&gt;"Completed",$I417&lt;&gt;"Cancelled"),1,0))</f>
        <v/>
      </c>
      <c r="T417" s="0" t="str">
        <f aca="false">IF($A417="","",IF($I417="Completed",ROW(),""))</f>
        <v/>
      </c>
      <c r="U417" s="0" t="str">
        <f aca="false">IF($A417="","",IF(OR($I417="Not Started",$I417="Planning",$I417="Blocked"),ROW(),""))</f>
        <v/>
      </c>
    </row>
    <row r="418" customFormat="false" ht="15" hidden="false" customHeight="false" outlineLevel="0" collapsed="false">
      <c r="B418" s="3"/>
      <c r="F418" s="3"/>
      <c r="G418" s="3"/>
      <c r="H418" s="3"/>
      <c r="I418" s="3"/>
      <c r="J418" s="37" t="str">
        <f aca="false">IF($A418="","",IFERROR(INDEX(Lists!$B$2:$B$10,MATCH($I418,Lists!$A$2:$A$10,0)),""))</f>
        <v/>
      </c>
      <c r="N418" s="0" t="str">
        <f aca="false">IF($A418="","",$L418-$K418+1)</f>
        <v/>
      </c>
      <c r="O418" s="39" t="str">
        <f aca="true">IF($A418="","",IF(OR($I418="Completed",$I418="Cancelled"),0,$L418-TODAY()))</f>
        <v/>
      </c>
      <c r="Q418" s="3"/>
      <c r="S418" s="0" t="str">
        <f aca="false">IF($A418="","",IF(AND($O418&lt;0,$I418&lt;&gt;"Completed",$I418&lt;&gt;"Cancelled"),1,0))</f>
        <v/>
      </c>
      <c r="T418" s="0" t="str">
        <f aca="false">IF($A418="","",IF($I418="Completed",ROW(),""))</f>
        <v/>
      </c>
      <c r="U418" s="0" t="str">
        <f aca="false">IF($A418="","",IF(OR($I418="Not Started",$I418="Planning",$I418="Blocked"),ROW(),""))</f>
        <v/>
      </c>
    </row>
    <row r="419" customFormat="false" ht="15" hidden="false" customHeight="false" outlineLevel="0" collapsed="false">
      <c r="B419" s="3"/>
      <c r="F419" s="3"/>
      <c r="G419" s="3"/>
      <c r="H419" s="3"/>
      <c r="I419" s="3"/>
      <c r="J419" s="37" t="str">
        <f aca="false">IF($A419="","",IFERROR(INDEX(Lists!$B$2:$B$10,MATCH($I419,Lists!$A$2:$A$10,0)),""))</f>
        <v/>
      </c>
      <c r="N419" s="0" t="str">
        <f aca="false">IF($A419="","",$L419-$K419+1)</f>
        <v/>
      </c>
      <c r="O419" s="39" t="str">
        <f aca="true">IF($A419="","",IF(OR($I419="Completed",$I419="Cancelled"),0,$L419-TODAY()))</f>
        <v/>
      </c>
      <c r="Q419" s="3"/>
      <c r="S419" s="0" t="str">
        <f aca="false">IF($A419="","",IF(AND($O419&lt;0,$I419&lt;&gt;"Completed",$I419&lt;&gt;"Cancelled"),1,0))</f>
        <v/>
      </c>
      <c r="T419" s="0" t="str">
        <f aca="false">IF($A419="","",IF($I419="Completed",ROW(),""))</f>
        <v/>
      </c>
      <c r="U419" s="0" t="str">
        <f aca="false">IF($A419="","",IF(OR($I419="Not Started",$I419="Planning",$I419="Blocked"),ROW(),""))</f>
        <v/>
      </c>
    </row>
    <row r="420" customFormat="false" ht="15" hidden="false" customHeight="false" outlineLevel="0" collapsed="false">
      <c r="B420" s="3"/>
      <c r="F420" s="3"/>
      <c r="G420" s="3"/>
      <c r="H420" s="3"/>
      <c r="I420" s="3"/>
      <c r="J420" s="37" t="str">
        <f aca="false">IF($A420="","",IFERROR(INDEX(Lists!$B$2:$B$10,MATCH($I420,Lists!$A$2:$A$10,0)),""))</f>
        <v/>
      </c>
      <c r="N420" s="0" t="str">
        <f aca="false">IF($A420="","",$L420-$K420+1)</f>
        <v/>
      </c>
      <c r="O420" s="39" t="str">
        <f aca="true">IF($A420="","",IF(OR($I420="Completed",$I420="Cancelled"),0,$L420-TODAY()))</f>
        <v/>
      </c>
      <c r="Q420" s="3"/>
      <c r="S420" s="0" t="str">
        <f aca="false">IF($A420="","",IF(AND($O420&lt;0,$I420&lt;&gt;"Completed",$I420&lt;&gt;"Cancelled"),1,0))</f>
        <v/>
      </c>
      <c r="T420" s="0" t="str">
        <f aca="false">IF($A420="","",IF($I420="Completed",ROW(),""))</f>
        <v/>
      </c>
      <c r="U420" s="0" t="str">
        <f aca="false">IF($A420="","",IF(OR($I420="Not Started",$I420="Planning",$I420="Blocked"),ROW(),""))</f>
        <v/>
      </c>
    </row>
    <row r="421" customFormat="false" ht="15" hidden="false" customHeight="false" outlineLevel="0" collapsed="false">
      <c r="B421" s="3"/>
      <c r="F421" s="3"/>
      <c r="G421" s="3"/>
      <c r="H421" s="3"/>
      <c r="I421" s="3"/>
      <c r="J421" s="37" t="str">
        <f aca="false">IF($A421="","",IFERROR(INDEX(Lists!$B$2:$B$10,MATCH($I421,Lists!$A$2:$A$10,0)),""))</f>
        <v/>
      </c>
      <c r="N421" s="0" t="str">
        <f aca="false">IF($A421="","",$L421-$K421+1)</f>
        <v/>
      </c>
      <c r="O421" s="39" t="str">
        <f aca="true">IF($A421="","",IF(OR($I421="Completed",$I421="Cancelled"),0,$L421-TODAY()))</f>
        <v/>
      </c>
      <c r="Q421" s="3"/>
      <c r="S421" s="0" t="str">
        <f aca="false">IF($A421="","",IF(AND($O421&lt;0,$I421&lt;&gt;"Completed",$I421&lt;&gt;"Cancelled"),1,0))</f>
        <v/>
      </c>
      <c r="T421" s="0" t="str">
        <f aca="false">IF($A421="","",IF($I421="Completed",ROW(),""))</f>
        <v/>
      </c>
      <c r="U421" s="0" t="str">
        <f aca="false">IF($A421="","",IF(OR($I421="Not Started",$I421="Planning",$I421="Blocked"),ROW(),""))</f>
        <v/>
      </c>
    </row>
    <row r="422" customFormat="false" ht="15" hidden="false" customHeight="false" outlineLevel="0" collapsed="false">
      <c r="B422" s="3"/>
      <c r="F422" s="3"/>
      <c r="G422" s="3"/>
      <c r="H422" s="3"/>
      <c r="I422" s="3"/>
      <c r="J422" s="37" t="str">
        <f aca="false">IF($A422="","",IFERROR(INDEX(Lists!$B$2:$B$10,MATCH($I422,Lists!$A$2:$A$10,0)),""))</f>
        <v/>
      </c>
      <c r="N422" s="0" t="str">
        <f aca="false">IF($A422="","",$L422-$K422+1)</f>
        <v/>
      </c>
      <c r="O422" s="39" t="str">
        <f aca="true">IF($A422="","",IF(OR($I422="Completed",$I422="Cancelled"),0,$L422-TODAY()))</f>
        <v/>
      </c>
      <c r="Q422" s="3"/>
      <c r="S422" s="0" t="str">
        <f aca="false">IF($A422="","",IF(AND($O422&lt;0,$I422&lt;&gt;"Completed",$I422&lt;&gt;"Cancelled"),1,0))</f>
        <v/>
      </c>
      <c r="T422" s="0" t="str">
        <f aca="false">IF($A422="","",IF($I422="Completed",ROW(),""))</f>
        <v/>
      </c>
      <c r="U422" s="0" t="str">
        <f aca="false">IF($A422="","",IF(OR($I422="Not Started",$I422="Planning",$I422="Blocked"),ROW(),""))</f>
        <v/>
      </c>
    </row>
    <row r="423" customFormat="false" ht="15" hidden="false" customHeight="false" outlineLevel="0" collapsed="false">
      <c r="B423" s="3"/>
      <c r="F423" s="3"/>
      <c r="G423" s="3"/>
      <c r="H423" s="3"/>
      <c r="I423" s="3"/>
      <c r="J423" s="37" t="str">
        <f aca="false">IF($A423="","",IFERROR(INDEX(Lists!$B$2:$B$10,MATCH($I423,Lists!$A$2:$A$10,0)),""))</f>
        <v/>
      </c>
      <c r="N423" s="0" t="str">
        <f aca="false">IF($A423="","",$L423-$K423+1)</f>
        <v/>
      </c>
      <c r="O423" s="39" t="str">
        <f aca="true">IF($A423="","",IF(OR($I423="Completed",$I423="Cancelled"),0,$L423-TODAY()))</f>
        <v/>
      </c>
      <c r="Q423" s="3"/>
      <c r="S423" s="0" t="str">
        <f aca="false">IF($A423="","",IF(AND($O423&lt;0,$I423&lt;&gt;"Completed",$I423&lt;&gt;"Cancelled"),1,0))</f>
        <v/>
      </c>
      <c r="T423" s="0" t="str">
        <f aca="false">IF($A423="","",IF($I423="Completed",ROW(),""))</f>
        <v/>
      </c>
      <c r="U423" s="0" t="str">
        <f aca="false">IF($A423="","",IF(OR($I423="Not Started",$I423="Planning",$I423="Blocked"),ROW(),""))</f>
        <v/>
      </c>
    </row>
    <row r="424" customFormat="false" ht="15" hidden="false" customHeight="false" outlineLevel="0" collapsed="false">
      <c r="B424" s="3"/>
      <c r="F424" s="3"/>
      <c r="G424" s="3"/>
      <c r="H424" s="3"/>
      <c r="I424" s="3"/>
      <c r="J424" s="37" t="str">
        <f aca="false">IF($A424="","",IFERROR(INDEX(Lists!$B$2:$B$10,MATCH($I424,Lists!$A$2:$A$10,0)),""))</f>
        <v/>
      </c>
      <c r="N424" s="0" t="str">
        <f aca="false">IF($A424="","",$L424-$K424+1)</f>
        <v/>
      </c>
      <c r="O424" s="39" t="str">
        <f aca="true">IF($A424="","",IF(OR($I424="Completed",$I424="Cancelled"),0,$L424-TODAY()))</f>
        <v/>
      </c>
      <c r="Q424" s="3"/>
      <c r="S424" s="0" t="str">
        <f aca="false">IF($A424="","",IF(AND($O424&lt;0,$I424&lt;&gt;"Completed",$I424&lt;&gt;"Cancelled"),1,0))</f>
        <v/>
      </c>
      <c r="T424" s="0" t="str">
        <f aca="false">IF($A424="","",IF($I424="Completed",ROW(),""))</f>
        <v/>
      </c>
      <c r="U424" s="0" t="str">
        <f aca="false">IF($A424="","",IF(OR($I424="Not Started",$I424="Planning",$I424="Blocked"),ROW(),""))</f>
        <v/>
      </c>
    </row>
    <row r="425" customFormat="false" ht="15" hidden="false" customHeight="false" outlineLevel="0" collapsed="false">
      <c r="B425" s="3"/>
      <c r="F425" s="3"/>
      <c r="G425" s="3"/>
      <c r="H425" s="3"/>
      <c r="I425" s="3"/>
      <c r="J425" s="37" t="str">
        <f aca="false">IF($A425="","",IFERROR(INDEX(Lists!$B$2:$B$10,MATCH($I425,Lists!$A$2:$A$10,0)),""))</f>
        <v/>
      </c>
      <c r="N425" s="0" t="str">
        <f aca="false">IF($A425="","",$L425-$K425+1)</f>
        <v/>
      </c>
      <c r="O425" s="39" t="str">
        <f aca="true">IF($A425="","",IF(OR($I425="Completed",$I425="Cancelled"),0,$L425-TODAY()))</f>
        <v/>
      </c>
      <c r="Q425" s="3"/>
      <c r="S425" s="0" t="str">
        <f aca="false">IF($A425="","",IF(AND($O425&lt;0,$I425&lt;&gt;"Completed",$I425&lt;&gt;"Cancelled"),1,0))</f>
        <v/>
      </c>
      <c r="T425" s="0" t="str">
        <f aca="false">IF($A425="","",IF($I425="Completed",ROW(),""))</f>
        <v/>
      </c>
      <c r="U425" s="0" t="str">
        <f aca="false">IF($A425="","",IF(OR($I425="Not Started",$I425="Planning",$I425="Blocked"),ROW(),""))</f>
        <v/>
      </c>
    </row>
    <row r="426" customFormat="false" ht="15" hidden="false" customHeight="false" outlineLevel="0" collapsed="false">
      <c r="B426" s="3"/>
      <c r="F426" s="3"/>
      <c r="G426" s="3"/>
      <c r="H426" s="3"/>
      <c r="I426" s="3"/>
      <c r="J426" s="37" t="str">
        <f aca="false">IF($A426="","",IFERROR(INDEX(Lists!$B$2:$B$10,MATCH($I426,Lists!$A$2:$A$10,0)),""))</f>
        <v/>
      </c>
      <c r="N426" s="0" t="str">
        <f aca="false">IF($A426="","",$L426-$K426+1)</f>
        <v/>
      </c>
      <c r="O426" s="39" t="str">
        <f aca="true">IF($A426="","",IF(OR($I426="Completed",$I426="Cancelled"),0,$L426-TODAY()))</f>
        <v/>
      </c>
      <c r="Q426" s="3"/>
      <c r="S426" s="0" t="str">
        <f aca="false">IF($A426="","",IF(AND($O426&lt;0,$I426&lt;&gt;"Completed",$I426&lt;&gt;"Cancelled"),1,0))</f>
        <v/>
      </c>
      <c r="T426" s="0" t="str">
        <f aca="false">IF($A426="","",IF($I426="Completed",ROW(),""))</f>
        <v/>
      </c>
      <c r="U426" s="0" t="str">
        <f aca="false">IF($A426="","",IF(OR($I426="Not Started",$I426="Planning",$I426="Blocked"),ROW(),""))</f>
        <v/>
      </c>
    </row>
    <row r="427" customFormat="false" ht="15" hidden="false" customHeight="false" outlineLevel="0" collapsed="false">
      <c r="B427" s="3"/>
      <c r="F427" s="3"/>
      <c r="G427" s="3"/>
      <c r="H427" s="3"/>
      <c r="I427" s="3"/>
      <c r="J427" s="37" t="str">
        <f aca="false">IF($A427="","",IFERROR(INDEX(Lists!$B$2:$B$10,MATCH($I427,Lists!$A$2:$A$10,0)),""))</f>
        <v/>
      </c>
      <c r="N427" s="0" t="str">
        <f aca="false">IF($A427="","",$L427-$K427+1)</f>
        <v/>
      </c>
      <c r="O427" s="39" t="str">
        <f aca="true">IF($A427="","",IF(OR($I427="Completed",$I427="Cancelled"),0,$L427-TODAY()))</f>
        <v/>
      </c>
      <c r="Q427" s="3"/>
      <c r="S427" s="0" t="str">
        <f aca="false">IF($A427="","",IF(AND($O427&lt;0,$I427&lt;&gt;"Completed",$I427&lt;&gt;"Cancelled"),1,0))</f>
        <v/>
      </c>
      <c r="T427" s="0" t="str">
        <f aca="false">IF($A427="","",IF($I427="Completed",ROW(),""))</f>
        <v/>
      </c>
      <c r="U427" s="0" t="str">
        <f aca="false">IF($A427="","",IF(OR($I427="Not Started",$I427="Planning",$I427="Blocked"),ROW(),""))</f>
        <v/>
      </c>
    </row>
    <row r="428" customFormat="false" ht="15" hidden="false" customHeight="false" outlineLevel="0" collapsed="false">
      <c r="B428" s="3"/>
      <c r="F428" s="3"/>
      <c r="G428" s="3"/>
      <c r="H428" s="3"/>
      <c r="I428" s="3"/>
      <c r="J428" s="37" t="str">
        <f aca="false">IF($A428="","",IFERROR(INDEX(Lists!$B$2:$B$10,MATCH($I428,Lists!$A$2:$A$10,0)),""))</f>
        <v/>
      </c>
      <c r="N428" s="0" t="str">
        <f aca="false">IF($A428="","",$L428-$K428+1)</f>
        <v/>
      </c>
      <c r="O428" s="39" t="str">
        <f aca="true">IF($A428="","",IF(OR($I428="Completed",$I428="Cancelled"),0,$L428-TODAY()))</f>
        <v/>
      </c>
      <c r="Q428" s="3"/>
      <c r="S428" s="0" t="str">
        <f aca="false">IF($A428="","",IF(AND($O428&lt;0,$I428&lt;&gt;"Completed",$I428&lt;&gt;"Cancelled"),1,0))</f>
        <v/>
      </c>
      <c r="T428" s="0" t="str">
        <f aca="false">IF($A428="","",IF($I428="Completed",ROW(),""))</f>
        <v/>
      </c>
      <c r="U428" s="0" t="str">
        <f aca="false">IF($A428="","",IF(OR($I428="Not Started",$I428="Planning",$I428="Blocked"),ROW(),""))</f>
        <v/>
      </c>
    </row>
    <row r="429" customFormat="false" ht="15" hidden="false" customHeight="false" outlineLevel="0" collapsed="false">
      <c r="B429" s="3"/>
      <c r="F429" s="3"/>
      <c r="G429" s="3"/>
      <c r="H429" s="3"/>
      <c r="I429" s="3"/>
      <c r="J429" s="37" t="str">
        <f aca="false">IF($A429="","",IFERROR(INDEX(Lists!$B$2:$B$10,MATCH($I429,Lists!$A$2:$A$10,0)),""))</f>
        <v/>
      </c>
      <c r="N429" s="0" t="str">
        <f aca="false">IF($A429="","",$L429-$K429+1)</f>
        <v/>
      </c>
      <c r="O429" s="39" t="str">
        <f aca="true">IF($A429="","",IF(OR($I429="Completed",$I429="Cancelled"),0,$L429-TODAY()))</f>
        <v/>
      </c>
      <c r="Q429" s="3"/>
      <c r="S429" s="0" t="str">
        <f aca="false">IF($A429="","",IF(AND($O429&lt;0,$I429&lt;&gt;"Completed",$I429&lt;&gt;"Cancelled"),1,0))</f>
        <v/>
      </c>
      <c r="T429" s="0" t="str">
        <f aca="false">IF($A429="","",IF($I429="Completed",ROW(),""))</f>
        <v/>
      </c>
      <c r="U429" s="0" t="str">
        <f aca="false">IF($A429="","",IF(OR($I429="Not Started",$I429="Planning",$I429="Blocked"),ROW(),""))</f>
        <v/>
      </c>
    </row>
    <row r="430" customFormat="false" ht="15" hidden="false" customHeight="false" outlineLevel="0" collapsed="false">
      <c r="B430" s="3"/>
      <c r="F430" s="3"/>
      <c r="G430" s="3"/>
      <c r="H430" s="3"/>
      <c r="I430" s="3"/>
      <c r="J430" s="37" t="str">
        <f aca="false">IF($A430="","",IFERROR(INDEX(Lists!$B$2:$B$10,MATCH($I430,Lists!$A$2:$A$10,0)),""))</f>
        <v/>
      </c>
      <c r="N430" s="0" t="str">
        <f aca="false">IF($A430="","",$L430-$K430+1)</f>
        <v/>
      </c>
      <c r="O430" s="39" t="str">
        <f aca="true">IF($A430="","",IF(OR($I430="Completed",$I430="Cancelled"),0,$L430-TODAY()))</f>
        <v/>
      </c>
      <c r="Q430" s="3"/>
      <c r="S430" s="0" t="str">
        <f aca="false">IF($A430="","",IF(AND($O430&lt;0,$I430&lt;&gt;"Completed",$I430&lt;&gt;"Cancelled"),1,0))</f>
        <v/>
      </c>
      <c r="T430" s="0" t="str">
        <f aca="false">IF($A430="","",IF($I430="Completed",ROW(),""))</f>
        <v/>
      </c>
      <c r="U430" s="0" t="str">
        <f aca="false">IF($A430="","",IF(OR($I430="Not Started",$I430="Planning",$I430="Blocked"),ROW(),""))</f>
        <v/>
      </c>
    </row>
    <row r="431" customFormat="false" ht="15" hidden="false" customHeight="false" outlineLevel="0" collapsed="false">
      <c r="B431" s="3"/>
      <c r="F431" s="3"/>
      <c r="G431" s="3"/>
      <c r="H431" s="3"/>
      <c r="I431" s="3"/>
      <c r="J431" s="37" t="str">
        <f aca="false">IF($A431="","",IFERROR(INDEX(Lists!$B$2:$B$10,MATCH($I431,Lists!$A$2:$A$10,0)),""))</f>
        <v/>
      </c>
      <c r="N431" s="0" t="str">
        <f aca="false">IF($A431="","",$L431-$K431+1)</f>
        <v/>
      </c>
      <c r="O431" s="39" t="str">
        <f aca="true">IF($A431="","",IF(OR($I431="Completed",$I431="Cancelled"),0,$L431-TODAY()))</f>
        <v/>
      </c>
      <c r="Q431" s="3"/>
      <c r="S431" s="0" t="str">
        <f aca="false">IF($A431="","",IF(AND($O431&lt;0,$I431&lt;&gt;"Completed",$I431&lt;&gt;"Cancelled"),1,0))</f>
        <v/>
      </c>
      <c r="T431" s="0" t="str">
        <f aca="false">IF($A431="","",IF($I431="Completed",ROW(),""))</f>
        <v/>
      </c>
      <c r="U431" s="0" t="str">
        <f aca="false">IF($A431="","",IF(OR($I431="Not Started",$I431="Planning",$I431="Blocked"),ROW(),""))</f>
        <v/>
      </c>
    </row>
    <row r="432" customFormat="false" ht="15" hidden="false" customHeight="false" outlineLevel="0" collapsed="false">
      <c r="B432" s="3"/>
      <c r="F432" s="3"/>
      <c r="G432" s="3"/>
      <c r="H432" s="3"/>
      <c r="I432" s="3"/>
      <c r="J432" s="37" t="str">
        <f aca="false">IF($A432="","",IFERROR(INDEX(Lists!$B$2:$B$10,MATCH($I432,Lists!$A$2:$A$10,0)),""))</f>
        <v/>
      </c>
      <c r="N432" s="0" t="str">
        <f aca="false">IF($A432="","",$L432-$K432+1)</f>
        <v/>
      </c>
      <c r="O432" s="39" t="str">
        <f aca="true">IF($A432="","",IF(OR($I432="Completed",$I432="Cancelled"),0,$L432-TODAY()))</f>
        <v/>
      </c>
      <c r="Q432" s="3"/>
      <c r="S432" s="0" t="str">
        <f aca="false">IF($A432="","",IF(AND($O432&lt;0,$I432&lt;&gt;"Completed",$I432&lt;&gt;"Cancelled"),1,0))</f>
        <v/>
      </c>
      <c r="T432" s="0" t="str">
        <f aca="false">IF($A432="","",IF($I432="Completed",ROW(),""))</f>
        <v/>
      </c>
      <c r="U432" s="0" t="str">
        <f aca="false">IF($A432="","",IF(OR($I432="Not Started",$I432="Planning",$I432="Blocked"),ROW(),""))</f>
        <v/>
      </c>
    </row>
    <row r="433" customFormat="false" ht="15" hidden="false" customHeight="false" outlineLevel="0" collapsed="false">
      <c r="B433" s="3"/>
      <c r="F433" s="3"/>
      <c r="G433" s="3"/>
      <c r="H433" s="3"/>
      <c r="I433" s="3"/>
      <c r="J433" s="37" t="str">
        <f aca="false">IF($A433="","",IFERROR(INDEX(Lists!$B$2:$B$10,MATCH($I433,Lists!$A$2:$A$10,0)),""))</f>
        <v/>
      </c>
      <c r="N433" s="0" t="str">
        <f aca="false">IF($A433="","",$L433-$K433+1)</f>
        <v/>
      </c>
      <c r="O433" s="39" t="str">
        <f aca="true">IF($A433="","",IF(OR($I433="Completed",$I433="Cancelled"),0,$L433-TODAY()))</f>
        <v/>
      </c>
      <c r="Q433" s="3"/>
      <c r="S433" s="0" t="str">
        <f aca="false">IF($A433="","",IF(AND($O433&lt;0,$I433&lt;&gt;"Completed",$I433&lt;&gt;"Cancelled"),1,0))</f>
        <v/>
      </c>
      <c r="T433" s="0" t="str">
        <f aca="false">IF($A433="","",IF($I433="Completed",ROW(),""))</f>
        <v/>
      </c>
      <c r="U433" s="0" t="str">
        <f aca="false">IF($A433="","",IF(OR($I433="Not Started",$I433="Planning",$I433="Blocked"),ROW(),""))</f>
        <v/>
      </c>
    </row>
    <row r="434" customFormat="false" ht="15" hidden="false" customHeight="false" outlineLevel="0" collapsed="false">
      <c r="B434" s="3"/>
      <c r="F434" s="3"/>
      <c r="G434" s="3"/>
      <c r="H434" s="3"/>
      <c r="I434" s="3"/>
      <c r="J434" s="37" t="str">
        <f aca="false">IF($A434="","",IFERROR(INDEX(Lists!$B$2:$B$10,MATCH($I434,Lists!$A$2:$A$10,0)),""))</f>
        <v/>
      </c>
      <c r="N434" s="0" t="str">
        <f aca="false">IF($A434="","",$L434-$K434+1)</f>
        <v/>
      </c>
      <c r="O434" s="39" t="str">
        <f aca="true">IF($A434="","",IF(OR($I434="Completed",$I434="Cancelled"),0,$L434-TODAY()))</f>
        <v/>
      </c>
      <c r="Q434" s="3"/>
      <c r="S434" s="0" t="str">
        <f aca="false">IF($A434="","",IF(AND($O434&lt;0,$I434&lt;&gt;"Completed",$I434&lt;&gt;"Cancelled"),1,0))</f>
        <v/>
      </c>
      <c r="T434" s="0" t="str">
        <f aca="false">IF($A434="","",IF($I434="Completed",ROW(),""))</f>
        <v/>
      </c>
      <c r="U434" s="0" t="str">
        <f aca="false">IF($A434="","",IF(OR($I434="Not Started",$I434="Planning",$I434="Blocked"),ROW(),""))</f>
        <v/>
      </c>
    </row>
    <row r="435" customFormat="false" ht="15" hidden="false" customHeight="false" outlineLevel="0" collapsed="false">
      <c r="B435" s="3"/>
      <c r="F435" s="3"/>
      <c r="G435" s="3"/>
      <c r="H435" s="3"/>
      <c r="I435" s="3"/>
      <c r="J435" s="37" t="str">
        <f aca="false">IF($A435="","",IFERROR(INDEX(Lists!$B$2:$B$10,MATCH($I435,Lists!$A$2:$A$10,0)),""))</f>
        <v/>
      </c>
      <c r="N435" s="0" t="str">
        <f aca="false">IF($A435="","",$L435-$K435+1)</f>
        <v/>
      </c>
      <c r="O435" s="39" t="str">
        <f aca="true">IF($A435="","",IF(OR($I435="Completed",$I435="Cancelled"),0,$L435-TODAY()))</f>
        <v/>
      </c>
      <c r="Q435" s="3"/>
      <c r="S435" s="0" t="str">
        <f aca="false">IF($A435="","",IF(AND($O435&lt;0,$I435&lt;&gt;"Completed",$I435&lt;&gt;"Cancelled"),1,0))</f>
        <v/>
      </c>
      <c r="T435" s="0" t="str">
        <f aca="false">IF($A435="","",IF($I435="Completed",ROW(),""))</f>
        <v/>
      </c>
      <c r="U435" s="0" t="str">
        <f aca="false">IF($A435="","",IF(OR($I435="Not Started",$I435="Planning",$I435="Blocked"),ROW(),""))</f>
        <v/>
      </c>
    </row>
    <row r="436" customFormat="false" ht="15" hidden="false" customHeight="false" outlineLevel="0" collapsed="false">
      <c r="B436" s="3"/>
      <c r="F436" s="3"/>
      <c r="G436" s="3"/>
      <c r="H436" s="3"/>
      <c r="I436" s="3"/>
      <c r="J436" s="37" t="str">
        <f aca="false">IF($A436="","",IFERROR(INDEX(Lists!$B$2:$B$10,MATCH($I436,Lists!$A$2:$A$10,0)),""))</f>
        <v/>
      </c>
      <c r="N436" s="0" t="str">
        <f aca="false">IF($A436="","",$L436-$K436+1)</f>
        <v/>
      </c>
      <c r="O436" s="39" t="str">
        <f aca="true">IF($A436="","",IF(OR($I436="Completed",$I436="Cancelled"),0,$L436-TODAY()))</f>
        <v/>
      </c>
      <c r="Q436" s="3"/>
      <c r="S436" s="0" t="str">
        <f aca="false">IF($A436="","",IF(AND($O436&lt;0,$I436&lt;&gt;"Completed",$I436&lt;&gt;"Cancelled"),1,0))</f>
        <v/>
      </c>
      <c r="T436" s="0" t="str">
        <f aca="false">IF($A436="","",IF($I436="Completed",ROW(),""))</f>
        <v/>
      </c>
      <c r="U436" s="0" t="str">
        <f aca="false">IF($A436="","",IF(OR($I436="Not Started",$I436="Planning",$I436="Blocked"),ROW(),""))</f>
        <v/>
      </c>
    </row>
    <row r="437" customFormat="false" ht="15" hidden="false" customHeight="false" outlineLevel="0" collapsed="false">
      <c r="B437" s="3"/>
      <c r="F437" s="3"/>
      <c r="G437" s="3"/>
      <c r="H437" s="3"/>
      <c r="I437" s="3"/>
      <c r="J437" s="37" t="str">
        <f aca="false">IF($A437="","",IFERROR(INDEX(Lists!$B$2:$B$10,MATCH($I437,Lists!$A$2:$A$10,0)),""))</f>
        <v/>
      </c>
      <c r="N437" s="0" t="str">
        <f aca="false">IF($A437="","",$L437-$K437+1)</f>
        <v/>
      </c>
      <c r="O437" s="39" t="str">
        <f aca="true">IF($A437="","",IF(OR($I437="Completed",$I437="Cancelled"),0,$L437-TODAY()))</f>
        <v/>
      </c>
      <c r="Q437" s="3"/>
      <c r="S437" s="0" t="str">
        <f aca="false">IF($A437="","",IF(AND($O437&lt;0,$I437&lt;&gt;"Completed",$I437&lt;&gt;"Cancelled"),1,0))</f>
        <v/>
      </c>
      <c r="T437" s="0" t="str">
        <f aca="false">IF($A437="","",IF($I437="Completed",ROW(),""))</f>
        <v/>
      </c>
      <c r="U437" s="0" t="str">
        <f aca="false">IF($A437="","",IF(OR($I437="Not Started",$I437="Planning",$I437="Blocked"),ROW(),""))</f>
        <v/>
      </c>
    </row>
    <row r="438" customFormat="false" ht="15" hidden="false" customHeight="false" outlineLevel="0" collapsed="false">
      <c r="B438" s="3"/>
      <c r="F438" s="3"/>
      <c r="G438" s="3"/>
      <c r="H438" s="3"/>
      <c r="I438" s="3"/>
      <c r="J438" s="37" t="str">
        <f aca="false">IF($A438="","",IFERROR(INDEX(Lists!$B$2:$B$10,MATCH($I438,Lists!$A$2:$A$10,0)),""))</f>
        <v/>
      </c>
      <c r="N438" s="0" t="str">
        <f aca="false">IF($A438="","",$L438-$K438+1)</f>
        <v/>
      </c>
      <c r="O438" s="39" t="str">
        <f aca="true">IF($A438="","",IF(OR($I438="Completed",$I438="Cancelled"),0,$L438-TODAY()))</f>
        <v/>
      </c>
      <c r="Q438" s="3"/>
      <c r="S438" s="0" t="str">
        <f aca="false">IF($A438="","",IF(AND($O438&lt;0,$I438&lt;&gt;"Completed",$I438&lt;&gt;"Cancelled"),1,0))</f>
        <v/>
      </c>
      <c r="T438" s="0" t="str">
        <f aca="false">IF($A438="","",IF($I438="Completed",ROW(),""))</f>
        <v/>
      </c>
      <c r="U438" s="0" t="str">
        <f aca="false">IF($A438="","",IF(OR($I438="Not Started",$I438="Planning",$I438="Blocked"),ROW(),""))</f>
        <v/>
      </c>
    </row>
    <row r="439" customFormat="false" ht="15" hidden="false" customHeight="false" outlineLevel="0" collapsed="false">
      <c r="B439" s="3"/>
      <c r="F439" s="3"/>
      <c r="G439" s="3"/>
      <c r="H439" s="3"/>
      <c r="I439" s="3"/>
      <c r="J439" s="37" t="str">
        <f aca="false">IF($A439="","",IFERROR(INDEX(Lists!$B$2:$B$10,MATCH($I439,Lists!$A$2:$A$10,0)),""))</f>
        <v/>
      </c>
      <c r="N439" s="0" t="str">
        <f aca="false">IF($A439="","",$L439-$K439+1)</f>
        <v/>
      </c>
      <c r="O439" s="39" t="str">
        <f aca="true">IF($A439="","",IF(OR($I439="Completed",$I439="Cancelled"),0,$L439-TODAY()))</f>
        <v/>
      </c>
      <c r="Q439" s="3"/>
      <c r="S439" s="0" t="str">
        <f aca="false">IF($A439="","",IF(AND($O439&lt;0,$I439&lt;&gt;"Completed",$I439&lt;&gt;"Cancelled"),1,0))</f>
        <v/>
      </c>
      <c r="T439" s="0" t="str">
        <f aca="false">IF($A439="","",IF($I439="Completed",ROW(),""))</f>
        <v/>
      </c>
      <c r="U439" s="0" t="str">
        <f aca="false">IF($A439="","",IF(OR($I439="Not Started",$I439="Planning",$I439="Blocked"),ROW(),""))</f>
        <v/>
      </c>
    </row>
    <row r="440" customFormat="false" ht="15" hidden="false" customHeight="false" outlineLevel="0" collapsed="false">
      <c r="B440" s="3"/>
      <c r="F440" s="3"/>
      <c r="G440" s="3"/>
      <c r="H440" s="3"/>
      <c r="I440" s="3"/>
      <c r="J440" s="37" t="str">
        <f aca="false">IF($A440="","",IFERROR(INDEX(Lists!$B$2:$B$10,MATCH($I440,Lists!$A$2:$A$10,0)),""))</f>
        <v/>
      </c>
      <c r="N440" s="0" t="str">
        <f aca="false">IF($A440="","",$L440-$K440+1)</f>
        <v/>
      </c>
      <c r="O440" s="39" t="str">
        <f aca="true">IF($A440="","",IF(OR($I440="Completed",$I440="Cancelled"),0,$L440-TODAY()))</f>
        <v/>
      </c>
      <c r="Q440" s="3"/>
      <c r="S440" s="0" t="str">
        <f aca="false">IF($A440="","",IF(AND($O440&lt;0,$I440&lt;&gt;"Completed",$I440&lt;&gt;"Cancelled"),1,0))</f>
        <v/>
      </c>
      <c r="T440" s="0" t="str">
        <f aca="false">IF($A440="","",IF($I440="Completed",ROW(),""))</f>
        <v/>
      </c>
      <c r="U440" s="0" t="str">
        <f aca="false">IF($A440="","",IF(OR($I440="Not Started",$I440="Planning",$I440="Blocked"),ROW(),""))</f>
        <v/>
      </c>
    </row>
    <row r="441" customFormat="false" ht="15" hidden="false" customHeight="false" outlineLevel="0" collapsed="false">
      <c r="B441" s="3"/>
      <c r="F441" s="3"/>
      <c r="G441" s="3"/>
      <c r="H441" s="3"/>
      <c r="I441" s="3"/>
      <c r="J441" s="37" t="str">
        <f aca="false">IF($A441="","",IFERROR(INDEX(Lists!$B$2:$B$10,MATCH($I441,Lists!$A$2:$A$10,0)),""))</f>
        <v/>
      </c>
      <c r="N441" s="0" t="str">
        <f aca="false">IF($A441="","",$L441-$K441+1)</f>
        <v/>
      </c>
      <c r="O441" s="39" t="str">
        <f aca="true">IF($A441="","",IF(OR($I441="Completed",$I441="Cancelled"),0,$L441-TODAY()))</f>
        <v/>
      </c>
      <c r="Q441" s="3"/>
      <c r="S441" s="0" t="str">
        <f aca="false">IF($A441="","",IF(AND($O441&lt;0,$I441&lt;&gt;"Completed",$I441&lt;&gt;"Cancelled"),1,0))</f>
        <v/>
      </c>
      <c r="T441" s="0" t="str">
        <f aca="false">IF($A441="","",IF($I441="Completed",ROW(),""))</f>
        <v/>
      </c>
      <c r="U441" s="0" t="str">
        <f aca="false">IF($A441="","",IF(OR($I441="Not Started",$I441="Planning",$I441="Blocked"),ROW(),""))</f>
        <v/>
      </c>
    </row>
    <row r="442" customFormat="false" ht="15" hidden="false" customHeight="false" outlineLevel="0" collapsed="false">
      <c r="B442" s="3"/>
      <c r="F442" s="3"/>
      <c r="G442" s="3"/>
      <c r="H442" s="3"/>
      <c r="I442" s="3"/>
      <c r="J442" s="37" t="str">
        <f aca="false">IF($A442="","",IFERROR(INDEX(Lists!$B$2:$B$10,MATCH($I442,Lists!$A$2:$A$10,0)),""))</f>
        <v/>
      </c>
      <c r="N442" s="0" t="str">
        <f aca="false">IF($A442="","",$L442-$K442+1)</f>
        <v/>
      </c>
      <c r="O442" s="39" t="str">
        <f aca="true">IF($A442="","",IF(OR($I442="Completed",$I442="Cancelled"),0,$L442-TODAY()))</f>
        <v/>
      </c>
      <c r="Q442" s="3"/>
      <c r="S442" s="0" t="str">
        <f aca="false">IF($A442="","",IF(AND($O442&lt;0,$I442&lt;&gt;"Completed",$I442&lt;&gt;"Cancelled"),1,0))</f>
        <v/>
      </c>
      <c r="T442" s="0" t="str">
        <f aca="false">IF($A442="","",IF($I442="Completed",ROW(),""))</f>
        <v/>
      </c>
      <c r="U442" s="0" t="str">
        <f aca="false">IF($A442="","",IF(OR($I442="Not Started",$I442="Planning",$I442="Blocked"),ROW(),""))</f>
        <v/>
      </c>
    </row>
    <row r="443" customFormat="false" ht="15" hidden="false" customHeight="false" outlineLevel="0" collapsed="false">
      <c r="B443" s="3"/>
      <c r="F443" s="3"/>
      <c r="G443" s="3"/>
      <c r="H443" s="3"/>
      <c r="I443" s="3"/>
      <c r="J443" s="37" t="str">
        <f aca="false">IF($A443="","",IFERROR(INDEX(Lists!$B$2:$B$10,MATCH($I443,Lists!$A$2:$A$10,0)),""))</f>
        <v/>
      </c>
      <c r="N443" s="0" t="str">
        <f aca="false">IF($A443="","",$L443-$K443+1)</f>
        <v/>
      </c>
      <c r="O443" s="39" t="str">
        <f aca="true">IF($A443="","",IF(OR($I443="Completed",$I443="Cancelled"),0,$L443-TODAY()))</f>
        <v/>
      </c>
      <c r="Q443" s="3"/>
      <c r="S443" s="0" t="str">
        <f aca="false">IF($A443="","",IF(AND($O443&lt;0,$I443&lt;&gt;"Completed",$I443&lt;&gt;"Cancelled"),1,0))</f>
        <v/>
      </c>
      <c r="T443" s="0" t="str">
        <f aca="false">IF($A443="","",IF($I443="Completed",ROW(),""))</f>
        <v/>
      </c>
      <c r="U443" s="0" t="str">
        <f aca="false">IF($A443="","",IF(OR($I443="Not Started",$I443="Planning",$I443="Blocked"),ROW(),""))</f>
        <v/>
      </c>
    </row>
    <row r="444" customFormat="false" ht="15" hidden="false" customHeight="false" outlineLevel="0" collapsed="false">
      <c r="B444" s="3"/>
      <c r="F444" s="3"/>
      <c r="G444" s="3"/>
      <c r="H444" s="3"/>
      <c r="I444" s="3"/>
      <c r="J444" s="37" t="str">
        <f aca="false">IF($A444="","",IFERROR(INDEX(Lists!$B$2:$B$10,MATCH($I444,Lists!$A$2:$A$10,0)),""))</f>
        <v/>
      </c>
      <c r="N444" s="0" t="str">
        <f aca="false">IF($A444="","",$L444-$K444+1)</f>
        <v/>
      </c>
      <c r="O444" s="39" t="str">
        <f aca="true">IF($A444="","",IF(OR($I444="Completed",$I444="Cancelled"),0,$L444-TODAY()))</f>
        <v/>
      </c>
      <c r="Q444" s="3"/>
      <c r="S444" s="0" t="str">
        <f aca="false">IF($A444="","",IF(AND($O444&lt;0,$I444&lt;&gt;"Completed",$I444&lt;&gt;"Cancelled"),1,0))</f>
        <v/>
      </c>
      <c r="T444" s="0" t="str">
        <f aca="false">IF($A444="","",IF($I444="Completed",ROW(),""))</f>
        <v/>
      </c>
      <c r="U444" s="0" t="str">
        <f aca="false">IF($A444="","",IF(OR($I444="Not Started",$I444="Planning",$I444="Blocked"),ROW(),""))</f>
        <v/>
      </c>
    </row>
    <row r="445" customFormat="false" ht="15" hidden="false" customHeight="false" outlineLevel="0" collapsed="false">
      <c r="B445" s="3"/>
      <c r="F445" s="3"/>
      <c r="G445" s="3"/>
      <c r="H445" s="3"/>
      <c r="I445" s="3"/>
      <c r="J445" s="37" t="str">
        <f aca="false">IF($A445="","",IFERROR(INDEX(Lists!$B$2:$B$10,MATCH($I445,Lists!$A$2:$A$10,0)),""))</f>
        <v/>
      </c>
      <c r="N445" s="0" t="str">
        <f aca="false">IF($A445="","",$L445-$K445+1)</f>
        <v/>
      </c>
      <c r="O445" s="39" t="str">
        <f aca="true">IF($A445="","",IF(OR($I445="Completed",$I445="Cancelled"),0,$L445-TODAY()))</f>
        <v/>
      </c>
      <c r="Q445" s="3"/>
      <c r="S445" s="0" t="str">
        <f aca="false">IF($A445="","",IF(AND($O445&lt;0,$I445&lt;&gt;"Completed",$I445&lt;&gt;"Cancelled"),1,0))</f>
        <v/>
      </c>
      <c r="T445" s="0" t="str">
        <f aca="false">IF($A445="","",IF($I445="Completed",ROW(),""))</f>
        <v/>
      </c>
      <c r="U445" s="0" t="str">
        <f aca="false">IF($A445="","",IF(OR($I445="Not Started",$I445="Planning",$I445="Blocked"),ROW(),""))</f>
        <v/>
      </c>
    </row>
    <row r="446" customFormat="false" ht="15" hidden="false" customHeight="false" outlineLevel="0" collapsed="false">
      <c r="B446" s="3"/>
      <c r="F446" s="3"/>
      <c r="G446" s="3"/>
      <c r="H446" s="3"/>
      <c r="I446" s="3"/>
      <c r="J446" s="37" t="str">
        <f aca="false">IF($A446="","",IFERROR(INDEX(Lists!$B$2:$B$10,MATCH($I446,Lists!$A$2:$A$10,0)),""))</f>
        <v/>
      </c>
      <c r="N446" s="0" t="str">
        <f aca="false">IF($A446="","",$L446-$K446+1)</f>
        <v/>
      </c>
      <c r="O446" s="39" t="str">
        <f aca="true">IF($A446="","",IF(OR($I446="Completed",$I446="Cancelled"),0,$L446-TODAY()))</f>
        <v/>
      </c>
      <c r="Q446" s="3"/>
      <c r="S446" s="0" t="str">
        <f aca="false">IF($A446="","",IF(AND($O446&lt;0,$I446&lt;&gt;"Completed",$I446&lt;&gt;"Cancelled"),1,0))</f>
        <v/>
      </c>
      <c r="T446" s="0" t="str">
        <f aca="false">IF($A446="","",IF($I446="Completed",ROW(),""))</f>
        <v/>
      </c>
      <c r="U446" s="0" t="str">
        <f aca="false">IF($A446="","",IF(OR($I446="Not Started",$I446="Planning",$I446="Blocked"),ROW(),""))</f>
        <v/>
      </c>
    </row>
    <row r="447" customFormat="false" ht="15" hidden="false" customHeight="false" outlineLevel="0" collapsed="false">
      <c r="B447" s="3"/>
      <c r="F447" s="3"/>
      <c r="G447" s="3"/>
      <c r="H447" s="3"/>
      <c r="I447" s="3"/>
      <c r="J447" s="37" t="str">
        <f aca="false">IF($A447="","",IFERROR(INDEX(Lists!$B$2:$B$10,MATCH($I447,Lists!$A$2:$A$10,0)),""))</f>
        <v/>
      </c>
      <c r="N447" s="0" t="str">
        <f aca="false">IF($A447="","",$L447-$K447+1)</f>
        <v/>
      </c>
      <c r="O447" s="39" t="str">
        <f aca="true">IF($A447="","",IF(OR($I447="Completed",$I447="Cancelled"),0,$L447-TODAY()))</f>
        <v/>
      </c>
      <c r="Q447" s="3"/>
      <c r="S447" s="0" t="str">
        <f aca="false">IF($A447="","",IF(AND($O447&lt;0,$I447&lt;&gt;"Completed",$I447&lt;&gt;"Cancelled"),1,0))</f>
        <v/>
      </c>
      <c r="T447" s="0" t="str">
        <f aca="false">IF($A447="","",IF($I447="Completed",ROW(),""))</f>
        <v/>
      </c>
      <c r="U447" s="0" t="str">
        <f aca="false">IF($A447="","",IF(OR($I447="Not Started",$I447="Planning",$I447="Blocked"),ROW(),""))</f>
        <v/>
      </c>
    </row>
    <row r="448" customFormat="false" ht="15" hidden="false" customHeight="false" outlineLevel="0" collapsed="false">
      <c r="B448" s="3"/>
      <c r="F448" s="3"/>
      <c r="G448" s="3"/>
      <c r="H448" s="3"/>
      <c r="I448" s="3"/>
      <c r="J448" s="37" t="str">
        <f aca="false">IF($A448="","",IFERROR(INDEX(Lists!$B$2:$B$10,MATCH($I448,Lists!$A$2:$A$10,0)),""))</f>
        <v/>
      </c>
      <c r="N448" s="0" t="str">
        <f aca="false">IF($A448="","",$L448-$K448+1)</f>
        <v/>
      </c>
      <c r="O448" s="39" t="str">
        <f aca="true">IF($A448="","",IF(OR($I448="Completed",$I448="Cancelled"),0,$L448-TODAY()))</f>
        <v/>
      </c>
      <c r="Q448" s="3"/>
      <c r="S448" s="0" t="str">
        <f aca="false">IF($A448="","",IF(AND($O448&lt;0,$I448&lt;&gt;"Completed",$I448&lt;&gt;"Cancelled"),1,0))</f>
        <v/>
      </c>
      <c r="T448" s="0" t="str">
        <f aca="false">IF($A448="","",IF($I448="Completed",ROW(),""))</f>
        <v/>
      </c>
      <c r="U448" s="0" t="str">
        <f aca="false">IF($A448="","",IF(OR($I448="Not Started",$I448="Planning",$I448="Blocked"),ROW(),""))</f>
        <v/>
      </c>
    </row>
    <row r="449" customFormat="false" ht="15" hidden="false" customHeight="false" outlineLevel="0" collapsed="false">
      <c r="B449" s="3"/>
      <c r="F449" s="3"/>
      <c r="G449" s="3"/>
      <c r="H449" s="3"/>
      <c r="I449" s="3"/>
      <c r="J449" s="37" t="str">
        <f aca="false">IF($A449="","",IFERROR(INDEX(Lists!$B$2:$B$10,MATCH($I449,Lists!$A$2:$A$10,0)),""))</f>
        <v/>
      </c>
      <c r="N449" s="0" t="str">
        <f aca="false">IF($A449="","",$L449-$K449+1)</f>
        <v/>
      </c>
      <c r="O449" s="39" t="str">
        <f aca="true">IF($A449="","",IF(OR($I449="Completed",$I449="Cancelled"),0,$L449-TODAY()))</f>
        <v/>
      </c>
      <c r="Q449" s="3"/>
      <c r="S449" s="0" t="str">
        <f aca="false">IF($A449="","",IF(AND($O449&lt;0,$I449&lt;&gt;"Completed",$I449&lt;&gt;"Cancelled"),1,0))</f>
        <v/>
      </c>
      <c r="T449" s="0" t="str">
        <f aca="false">IF($A449="","",IF($I449="Completed",ROW(),""))</f>
        <v/>
      </c>
      <c r="U449" s="0" t="str">
        <f aca="false">IF($A449="","",IF(OR($I449="Not Started",$I449="Planning",$I449="Blocked"),ROW(),""))</f>
        <v/>
      </c>
    </row>
    <row r="450" customFormat="false" ht="15" hidden="false" customHeight="false" outlineLevel="0" collapsed="false">
      <c r="B450" s="3"/>
      <c r="F450" s="3"/>
      <c r="G450" s="3"/>
      <c r="H450" s="3"/>
      <c r="I450" s="3"/>
      <c r="J450" s="37" t="str">
        <f aca="false">IF($A450="","",IFERROR(INDEX(Lists!$B$2:$B$10,MATCH($I450,Lists!$A$2:$A$10,0)),""))</f>
        <v/>
      </c>
      <c r="N450" s="0" t="str">
        <f aca="false">IF($A450="","",$L450-$K450+1)</f>
        <v/>
      </c>
      <c r="O450" s="39" t="str">
        <f aca="true">IF($A450="","",IF(OR($I450="Completed",$I450="Cancelled"),0,$L450-TODAY()))</f>
        <v/>
      </c>
      <c r="Q450" s="3"/>
      <c r="S450" s="0" t="str">
        <f aca="false">IF($A450="","",IF(AND($O450&lt;0,$I450&lt;&gt;"Completed",$I450&lt;&gt;"Cancelled"),1,0))</f>
        <v/>
      </c>
      <c r="T450" s="0" t="str">
        <f aca="false">IF($A450="","",IF($I450="Completed",ROW(),""))</f>
        <v/>
      </c>
      <c r="U450" s="0" t="str">
        <f aca="false">IF($A450="","",IF(OR($I450="Not Started",$I450="Planning",$I450="Blocked"),ROW(),""))</f>
        <v/>
      </c>
    </row>
    <row r="451" customFormat="false" ht="15" hidden="false" customHeight="false" outlineLevel="0" collapsed="false">
      <c r="B451" s="3"/>
      <c r="F451" s="3"/>
      <c r="G451" s="3"/>
      <c r="H451" s="3"/>
      <c r="I451" s="3"/>
      <c r="J451" s="37" t="str">
        <f aca="false">IF($A451="","",IFERROR(INDEX(Lists!$B$2:$B$10,MATCH($I451,Lists!$A$2:$A$10,0)),""))</f>
        <v/>
      </c>
      <c r="N451" s="0" t="str">
        <f aca="false">IF($A451="","",$L451-$K451+1)</f>
        <v/>
      </c>
      <c r="O451" s="39" t="str">
        <f aca="true">IF($A451="","",IF(OR($I451="Completed",$I451="Cancelled"),0,$L451-TODAY()))</f>
        <v/>
      </c>
      <c r="Q451" s="3"/>
      <c r="S451" s="0" t="str">
        <f aca="false">IF($A451="","",IF(AND($O451&lt;0,$I451&lt;&gt;"Completed",$I451&lt;&gt;"Cancelled"),1,0))</f>
        <v/>
      </c>
      <c r="T451" s="0" t="str">
        <f aca="false">IF($A451="","",IF($I451="Completed",ROW(),""))</f>
        <v/>
      </c>
      <c r="U451" s="0" t="str">
        <f aca="false">IF($A451="","",IF(OR($I451="Not Started",$I451="Planning",$I451="Blocked"),ROW(),""))</f>
        <v/>
      </c>
    </row>
    <row r="452" customFormat="false" ht="15" hidden="false" customHeight="false" outlineLevel="0" collapsed="false">
      <c r="B452" s="3"/>
      <c r="F452" s="3"/>
      <c r="G452" s="3"/>
      <c r="H452" s="3"/>
      <c r="I452" s="3"/>
      <c r="J452" s="37" t="str">
        <f aca="false">IF($A452="","",IFERROR(INDEX(Lists!$B$2:$B$10,MATCH($I452,Lists!$A$2:$A$10,0)),""))</f>
        <v/>
      </c>
      <c r="N452" s="0" t="str">
        <f aca="false">IF($A452="","",$L452-$K452+1)</f>
        <v/>
      </c>
      <c r="O452" s="39" t="str">
        <f aca="true">IF($A452="","",IF(OR($I452="Completed",$I452="Cancelled"),0,$L452-TODAY()))</f>
        <v/>
      </c>
      <c r="Q452" s="3"/>
      <c r="S452" s="0" t="str">
        <f aca="false">IF($A452="","",IF(AND($O452&lt;0,$I452&lt;&gt;"Completed",$I452&lt;&gt;"Cancelled"),1,0))</f>
        <v/>
      </c>
      <c r="T452" s="0" t="str">
        <f aca="false">IF($A452="","",IF($I452="Completed",ROW(),""))</f>
        <v/>
      </c>
      <c r="U452" s="0" t="str">
        <f aca="false">IF($A452="","",IF(OR($I452="Not Started",$I452="Planning",$I452="Blocked"),ROW(),""))</f>
        <v/>
      </c>
    </row>
    <row r="453" customFormat="false" ht="15" hidden="false" customHeight="false" outlineLevel="0" collapsed="false">
      <c r="B453" s="3"/>
      <c r="F453" s="3"/>
      <c r="G453" s="3"/>
      <c r="H453" s="3"/>
      <c r="I453" s="3"/>
      <c r="J453" s="37" t="str">
        <f aca="false">IF($A453="","",IFERROR(INDEX(Lists!$B$2:$B$10,MATCH($I453,Lists!$A$2:$A$10,0)),""))</f>
        <v/>
      </c>
      <c r="N453" s="0" t="str">
        <f aca="false">IF($A453="","",$L453-$K453+1)</f>
        <v/>
      </c>
      <c r="O453" s="39" t="str">
        <f aca="true">IF($A453="","",IF(OR($I453="Completed",$I453="Cancelled"),0,$L453-TODAY()))</f>
        <v/>
      </c>
      <c r="Q453" s="3"/>
      <c r="S453" s="0" t="str">
        <f aca="false">IF($A453="","",IF(AND($O453&lt;0,$I453&lt;&gt;"Completed",$I453&lt;&gt;"Cancelled"),1,0))</f>
        <v/>
      </c>
      <c r="T453" s="0" t="str">
        <f aca="false">IF($A453="","",IF($I453="Completed",ROW(),""))</f>
        <v/>
      </c>
      <c r="U453" s="0" t="str">
        <f aca="false">IF($A453="","",IF(OR($I453="Not Started",$I453="Planning",$I453="Blocked"),ROW(),""))</f>
        <v/>
      </c>
    </row>
    <row r="454" customFormat="false" ht="15" hidden="false" customHeight="false" outlineLevel="0" collapsed="false">
      <c r="B454" s="3"/>
      <c r="F454" s="3"/>
      <c r="G454" s="3"/>
      <c r="H454" s="3"/>
      <c r="I454" s="3"/>
      <c r="J454" s="37" t="str">
        <f aca="false">IF($A454="","",IFERROR(INDEX(Lists!$B$2:$B$10,MATCH($I454,Lists!$A$2:$A$10,0)),""))</f>
        <v/>
      </c>
      <c r="N454" s="0" t="str">
        <f aca="false">IF($A454="","",$L454-$K454+1)</f>
        <v/>
      </c>
      <c r="O454" s="39" t="str">
        <f aca="true">IF($A454="","",IF(OR($I454="Completed",$I454="Cancelled"),0,$L454-TODAY()))</f>
        <v/>
      </c>
      <c r="Q454" s="3"/>
      <c r="S454" s="0" t="str">
        <f aca="false">IF($A454="","",IF(AND($O454&lt;0,$I454&lt;&gt;"Completed",$I454&lt;&gt;"Cancelled"),1,0))</f>
        <v/>
      </c>
      <c r="T454" s="0" t="str">
        <f aca="false">IF($A454="","",IF($I454="Completed",ROW(),""))</f>
        <v/>
      </c>
      <c r="U454" s="0" t="str">
        <f aca="false">IF($A454="","",IF(OR($I454="Not Started",$I454="Planning",$I454="Blocked"),ROW(),""))</f>
        <v/>
      </c>
    </row>
    <row r="455" customFormat="false" ht="15" hidden="false" customHeight="false" outlineLevel="0" collapsed="false">
      <c r="B455" s="3"/>
      <c r="F455" s="3"/>
      <c r="G455" s="3"/>
      <c r="H455" s="3"/>
      <c r="I455" s="3"/>
      <c r="J455" s="37" t="str">
        <f aca="false">IF($A455="","",IFERROR(INDEX(Lists!$B$2:$B$10,MATCH($I455,Lists!$A$2:$A$10,0)),""))</f>
        <v/>
      </c>
      <c r="N455" s="0" t="str">
        <f aca="false">IF($A455="","",$L455-$K455+1)</f>
        <v/>
      </c>
      <c r="O455" s="39" t="str">
        <f aca="true">IF($A455="","",IF(OR($I455="Completed",$I455="Cancelled"),0,$L455-TODAY()))</f>
        <v/>
      </c>
      <c r="Q455" s="3"/>
      <c r="S455" s="0" t="str">
        <f aca="false">IF($A455="","",IF(AND($O455&lt;0,$I455&lt;&gt;"Completed",$I455&lt;&gt;"Cancelled"),1,0))</f>
        <v/>
      </c>
      <c r="T455" s="0" t="str">
        <f aca="false">IF($A455="","",IF($I455="Completed",ROW(),""))</f>
        <v/>
      </c>
      <c r="U455" s="0" t="str">
        <f aca="false">IF($A455="","",IF(OR($I455="Not Started",$I455="Planning",$I455="Blocked"),ROW(),""))</f>
        <v/>
      </c>
    </row>
    <row r="456" customFormat="false" ht="15" hidden="false" customHeight="false" outlineLevel="0" collapsed="false">
      <c r="B456" s="3"/>
      <c r="F456" s="3"/>
      <c r="G456" s="3"/>
      <c r="H456" s="3"/>
      <c r="I456" s="3"/>
      <c r="J456" s="37" t="str">
        <f aca="false">IF($A456="","",IFERROR(INDEX(Lists!$B$2:$B$10,MATCH($I456,Lists!$A$2:$A$10,0)),""))</f>
        <v/>
      </c>
      <c r="N456" s="0" t="str">
        <f aca="false">IF($A456="","",$L456-$K456+1)</f>
        <v/>
      </c>
      <c r="O456" s="39" t="str">
        <f aca="true">IF($A456="","",IF(OR($I456="Completed",$I456="Cancelled"),0,$L456-TODAY()))</f>
        <v/>
      </c>
      <c r="Q456" s="3"/>
      <c r="S456" s="0" t="str">
        <f aca="false">IF($A456="","",IF(AND($O456&lt;0,$I456&lt;&gt;"Completed",$I456&lt;&gt;"Cancelled"),1,0))</f>
        <v/>
      </c>
      <c r="T456" s="0" t="str">
        <f aca="false">IF($A456="","",IF($I456="Completed",ROW(),""))</f>
        <v/>
      </c>
      <c r="U456" s="0" t="str">
        <f aca="false">IF($A456="","",IF(OR($I456="Not Started",$I456="Planning",$I456="Blocked"),ROW(),""))</f>
        <v/>
      </c>
    </row>
    <row r="457" customFormat="false" ht="15" hidden="false" customHeight="false" outlineLevel="0" collapsed="false">
      <c r="B457" s="3"/>
      <c r="F457" s="3"/>
      <c r="G457" s="3"/>
      <c r="H457" s="3"/>
      <c r="I457" s="3"/>
      <c r="J457" s="37" t="str">
        <f aca="false">IF($A457="","",IFERROR(INDEX(Lists!$B$2:$B$10,MATCH($I457,Lists!$A$2:$A$10,0)),""))</f>
        <v/>
      </c>
      <c r="N457" s="0" t="str">
        <f aca="false">IF($A457="","",$L457-$K457+1)</f>
        <v/>
      </c>
      <c r="O457" s="39" t="str">
        <f aca="true">IF($A457="","",IF(OR($I457="Completed",$I457="Cancelled"),0,$L457-TODAY()))</f>
        <v/>
      </c>
      <c r="Q457" s="3"/>
      <c r="S457" s="0" t="str">
        <f aca="false">IF($A457="","",IF(AND($O457&lt;0,$I457&lt;&gt;"Completed",$I457&lt;&gt;"Cancelled"),1,0))</f>
        <v/>
      </c>
      <c r="T457" s="0" t="str">
        <f aca="false">IF($A457="","",IF($I457="Completed",ROW(),""))</f>
        <v/>
      </c>
      <c r="U457" s="0" t="str">
        <f aca="false">IF($A457="","",IF(OR($I457="Not Started",$I457="Planning",$I457="Blocked"),ROW(),""))</f>
        <v/>
      </c>
    </row>
    <row r="458" customFormat="false" ht="15" hidden="false" customHeight="false" outlineLevel="0" collapsed="false">
      <c r="B458" s="3"/>
      <c r="F458" s="3"/>
      <c r="G458" s="3"/>
      <c r="H458" s="3"/>
      <c r="I458" s="3"/>
      <c r="J458" s="37" t="str">
        <f aca="false">IF($A458="","",IFERROR(INDEX(Lists!$B$2:$B$10,MATCH($I458,Lists!$A$2:$A$10,0)),""))</f>
        <v/>
      </c>
      <c r="N458" s="0" t="str">
        <f aca="false">IF($A458="","",$L458-$K458+1)</f>
        <v/>
      </c>
      <c r="O458" s="39" t="str">
        <f aca="true">IF($A458="","",IF(OR($I458="Completed",$I458="Cancelled"),0,$L458-TODAY()))</f>
        <v/>
      </c>
      <c r="Q458" s="3"/>
      <c r="S458" s="0" t="str">
        <f aca="false">IF($A458="","",IF(AND($O458&lt;0,$I458&lt;&gt;"Completed",$I458&lt;&gt;"Cancelled"),1,0))</f>
        <v/>
      </c>
      <c r="T458" s="0" t="str">
        <f aca="false">IF($A458="","",IF($I458="Completed",ROW(),""))</f>
        <v/>
      </c>
      <c r="U458" s="0" t="str">
        <f aca="false">IF($A458="","",IF(OR($I458="Not Started",$I458="Planning",$I458="Blocked"),ROW(),""))</f>
        <v/>
      </c>
    </row>
    <row r="459" customFormat="false" ht="15" hidden="false" customHeight="false" outlineLevel="0" collapsed="false">
      <c r="B459" s="3"/>
      <c r="F459" s="3"/>
      <c r="G459" s="3"/>
      <c r="H459" s="3"/>
      <c r="I459" s="3"/>
      <c r="J459" s="37" t="str">
        <f aca="false">IF($A459="","",IFERROR(INDEX(Lists!$B$2:$B$10,MATCH($I459,Lists!$A$2:$A$10,0)),""))</f>
        <v/>
      </c>
      <c r="N459" s="0" t="str">
        <f aca="false">IF($A459="","",$L459-$K459+1)</f>
        <v/>
      </c>
      <c r="O459" s="39" t="str">
        <f aca="true">IF($A459="","",IF(OR($I459="Completed",$I459="Cancelled"),0,$L459-TODAY()))</f>
        <v/>
      </c>
      <c r="Q459" s="3"/>
      <c r="S459" s="0" t="str">
        <f aca="false">IF($A459="","",IF(AND($O459&lt;0,$I459&lt;&gt;"Completed",$I459&lt;&gt;"Cancelled"),1,0))</f>
        <v/>
      </c>
      <c r="T459" s="0" t="str">
        <f aca="false">IF($A459="","",IF($I459="Completed",ROW(),""))</f>
        <v/>
      </c>
      <c r="U459" s="0" t="str">
        <f aca="false">IF($A459="","",IF(OR($I459="Not Started",$I459="Planning",$I459="Blocked"),ROW(),""))</f>
        <v/>
      </c>
    </row>
    <row r="460" customFormat="false" ht="15" hidden="false" customHeight="false" outlineLevel="0" collapsed="false">
      <c r="B460" s="3"/>
      <c r="F460" s="3"/>
      <c r="G460" s="3"/>
      <c r="H460" s="3"/>
      <c r="I460" s="3"/>
      <c r="J460" s="37" t="str">
        <f aca="false">IF($A460="","",IFERROR(INDEX(Lists!$B$2:$B$10,MATCH($I460,Lists!$A$2:$A$10,0)),""))</f>
        <v/>
      </c>
      <c r="N460" s="0" t="str">
        <f aca="false">IF($A460="","",$L460-$K460+1)</f>
        <v/>
      </c>
      <c r="O460" s="39" t="str">
        <f aca="true">IF($A460="","",IF(OR($I460="Completed",$I460="Cancelled"),0,$L460-TODAY()))</f>
        <v/>
      </c>
      <c r="Q460" s="3"/>
      <c r="S460" s="0" t="str">
        <f aca="false">IF($A460="","",IF(AND($O460&lt;0,$I460&lt;&gt;"Completed",$I460&lt;&gt;"Cancelled"),1,0))</f>
        <v/>
      </c>
      <c r="T460" s="0" t="str">
        <f aca="false">IF($A460="","",IF($I460="Completed",ROW(),""))</f>
        <v/>
      </c>
      <c r="U460" s="0" t="str">
        <f aca="false">IF($A460="","",IF(OR($I460="Not Started",$I460="Planning",$I460="Blocked"),ROW(),""))</f>
        <v/>
      </c>
    </row>
    <row r="461" customFormat="false" ht="15" hidden="false" customHeight="false" outlineLevel="0" collapsed="false">
      <c r="B461" s="3"/>
      <c r="F461" s="3"/>
      <c r="G461" s="3"/>
      <c r="H461" s="3"/>
      <c r="I461" s="3"/>
      <c r="J461" s="37" t="str">
        <f aca="false">IF($A461="","",IFERROR(INDEX(Lists!$B$2:$B$10,MATCH($I461,Lists!$A$2:$A$10,0)),""))</f>
        <v/>
      </c>
      <c r="N461" s="0" t="str">
        <f aca="false">IF($A461="","",$L461-$K461+1)</f>
        <v/>
      </c>
      <c r="O461" s="39" t="str">
        <f aca="true">IF($A461="","",IF(OR($I461="Completed",$I461="Cancelled"),0,$L461-TODAY()))</f>
        <v/>
      </c>
      <c r="Q461" s="3"/>
      <c r="S461" s="0" t="str">
        <f aca="false">IF($A461="","",IF(AND($O461&lt;0,$I461&lt;&gt;"Completed",$I461&lt;&gt;"Cancelled"),1,0))</f>
        <v/>
      </c>
      <c r="T461" s="0" t="str">
        <f aca="false">IF($A461="","",IF($I461="Completed",ROW(),""))</f>
        <v/>
      </c>
      <c r="U461" s="0" t="str">
        <f aca="false">IF($A461="","",IF(OR($I461="Not Started",$I461="Planning",$I461="Blocked"),ROW(),""))</f>
        <v/>
      </c>
    </row>
    <row r="462" customFormat="false" ht="15" hidden="false" customHeight="false" outlineLevel="0" collapsed="false">
      <c r="B462" s="3"/>
      <c r="F462" s="3"/>
      <c r="G462" s="3"/>
      <c r="H462" s="3"/>
      <c r="I462" s="3"/>
      <c r="J462" s="37" t="str">
        <f aca="false">IF($A462="","",IFERROR(INDEX(Lists!$B$2:$B$10,MATCH($I462,Lists!$A$2:$A$10,0)),""))</f>
        <v/>
      </c>
      <c r="N462" s="0" t="str">
        <f aca="false">IF($A462="","",$L462-$K462+1)</f>
        <v/>
      </c>
      <c r="O462" s="39" t="str">
        <f aca="true">IF($A462="","",IF(OR($I462="Completed",$I462="Cancelled"),0,$L462-TODAY()))</f>
        <v/>
      </c>
      <c r="Q462" s="3"/>
      <c r="S462" s="0" t="str">
        <f aca="false">IF($A462="","",IF(AND($O462&lt;0,$I462&lt;&gt;"Completed",$I462&lt;&gt;"Cancelled"),1,0))</f>
        <v/>
      </c>
      <c r="T462" s="0" t="str">
        <f aca="false">IF($A462="","",IF($I462="Completed",ROW(),""))</f>
        <v/>
      </c>
      <c r="U462" s="0" t="str">
        <f aca="false">IF($A462="","",IF(OR($I462="Not Started",$I462="Planning",$I462="Blocked"),ROW(),""))</f>
        <v/>
      </c>
    </row>
    <row r="463" customFormat="false" ht="15" hidden="false" customHeight="false" outlineLevel="0" collapsed="false">
      <c r="B463" s="3"/>
      <c r="F463" s="3"/>
      <c r="G463" s="3"/>
      <c r="H463" s="3"/>
      <c r="I463" s="3"/>
      <c r="J463" s="37" t="str">
        <f aca="false">IF($A463="","",IFERROR(INDEX(Lists!$B$2:$B$10,MATCH($I463,Lists!$A$2:$A$10,0)),""))</f>
        <v/>
      </c>
      <c r="N463" s="0" t="str">
        <f aca="false">IF($A463="","",$L463-$K463+1)</f>
        <v/>
      </c>
      <c r="O463" s="39" t="str">
        <f aca="true">IF($A463="","",IF(OR($I463="Completed",$I463="Cancelled"),0,$L463-TODAY()))</f>
        <v/>
      </c>
      <c r="Q463" s="3"/>
      <c r="S463" s="0" t="str">
        <f aca="false">IF($A463="","",IF(AND($O463&lt;0,$I463&lt;&gt;"Completed",$I463&lt;&gt;"Cancelled"),1,0))</f>
        <v/>
      </c>
      <c r="T463" s="0" t="str">
        <f aca="false">IF($A463="","",IF($I463="Completed",ROW(),""))</f>
        <v/>
      </c>
      <c r="U463" s="0" t="str">
        <f aca="false">IF($A463="","",IF(OR($I463="Not Started",$I463="Planning",$I463="Blocked"),ROW(),""))</f>
        <v/>
      </c>
    </row>
    <row r="464" customFormat="false" ht="15" hidden="false" customHeight="false" outlineLevel="0" collapsed="false">
      <c r="B464" s="3"/>
      <c r="F464" s="3"/>
      <c r="G464" s="3"/>
      <c r="H464" s="3"/>
      <c r="I464" s="3"/>
      <c r="J464" s="37" t="str">
        <f aca="false">IF($A464="","",IFERROR(INDEX(Lists!$B$2:$B$10,MATCH($I464,Lists!$A$2:$A$10,0)),""))</f>
        <v/>
      </c>
      <c r="N464" s="0" t="str">
        <f aca="false">IF($A464="","",$L464-$K464+1)</f>
        <v/>
      </c>
      <c r="O464" s="39" t="str">
        <f aca="true">IF($A464="","",IF(OR($I464="Completed",$I464="Cancelled"),0,$L464-TODAY()))</f>
        <v/>
      </c>
      <c r="Q464" s="3"/>
      <c r="S464" s="0" t="str">
        <f aca="false">IF($A464="","",IF(AND($O464&lt;0,$I464&lt;&gt;"Completed",$I464&lt;&gt;"Cancelled"),1,0))</f>
        <v/>
      </c>
      <c r="T464" s="0" t="str">
        <f aca="false">IF($A464="","",IF($I464="Completed",ROW(),""))</f>
        <v/>
      </c>
      <c r="U464" s="0" t="str">
        <f aca="false">IF($A464="","",IF(OR($I464="Not Started",$I464="Planning",$I464="Blocked"),ROW(),""))</f>
        <v/>
      </c>
    </row>
    <row r="465" customFormat="false" ht="15" hidden="false" customHeight="false" outlineLevel="0" collapsed="false">
      <c r="B465" s="3"/>
      <c r="F465" s="3"/>
      <c r="G465" s="3"/>
      <c r="H465" s="3"/>
      <c r="I465" s="3"/>
      <c r="J465" s="37" t="str">
        <f aca="false">IF($A465="","",IFERROR(INDEX(Lists!$B$2:$B$10,MATCH($I465,Lists!$A$2:$A$10,0)),""))</f>
        <v/>
      </c>
      <c r="N465" s="0" t="str">
        <f aca="false">IF($A465="","",$L465-$K465+1)</f>
        <v/>
      </c>
      <c r="O465" s="39" t="str">
        <f aca="true">IF($A465="","",IF(OR($I465="Completed",$I465="Cancelled"),0,$L465-TODAY()))</f>
        <v/>
      </c>
      <c r="Q465" s="3"/>
      <c r="S465" s="0" t="str">
        <f aca="false">IF($A465="","",IF(AND($O465&lt;0,$I465&lt;&gt;"Completed",$I465&lt;&gt;"Cancelled"),1,0))</f>
        <v/>
      </c>
      <c r="T465" s="0" t="str">
        <f aca="false">IF($A465="","",IF($I465="Completed",ROW(),""))</f>
        <v/>
      </c>
      <c r="U465" s="0" t="str">
        <f aca="false">IF($A465="","",IF(OR($I465="Not Started",$I465="Planning",$I465="Blocked"),ROW(),""))</f>
        <v/>
      </c>
    </row>
    <row r="466" customFormat="false" ht="15" hidden="false" customHeight="false" outlineLevel="0" collapsed="false">
      <c r="B466" s="3"/>
      <c r="F466" s="3"/>
      <c r="G466" s="3"/>
      <c r="H466" s="3"/>
      <c r="I466" s="3"/>
      <c r="J466" s="37" t="str">
        <f aca="false">IF($A466="","",IFERROR(INDEX(Lists!$B$2:$B$10,MATCH($I466,Lists!$A$2:$A$10,0)),""))</f>
        <v/>
      </c>
      <c r="N466" s="0" t="str">
        <f aca="false">IF($A466="","",$L466-$K466+1)</f>
        <v/>
      </c>
      <c r="O466" s="39" t="str">
        <f aca="true">IF($A466="","",IF(OR($I466="Completed",$I466="Cancelled"),0,$L466-TODAY()))</f>
        <v/>
      </c>
      <c r="Q466" s="3"/>
      <c r="S466" s="0" t="str">
        <f aca="false">IF($A466="","",IF(AND($O466&lt;0,$I466&lt;&gt;"Completed",$I466&lt;&gt;"Cancelled"),1,0))</f>
        <v/>
      </c>
      <c r="T466" s="0" t="str">
        <f aca="false">IF($A466="","",IF($I466="Completed",ROW(),""))</f>
        <v/>
      </c>
      <c r="U466" s="0" t="str">
        <f aca="false">IF($A466="","",IF(OR($I466="Not Started",$I466="Planning",$I466="Blocked"),ROW(),""))</f>
        <v/>
      </c>
    </row>
    <row r="467" customFormat="false" ht="15" hidden="false" customHeight="false" outlineLevel="0" collapsed="false">
      <c r="B467" s="3"/>
      <c r="F467" s="3"/>
      <c r="G467" s="3"/>
      <c r="H467" s="3"/>
      <c r="I467" s="3"/>
      <c r="J467" s="37" t="str">
        <f aca="false">IF($A467="","",IFERROR(INDEX(Lists!$B$2:$B$10,MATCH($I467,Lists!$A$2:$A$10,0)),""))</f>
        <v/>
      </c>
      <c r="N467" s="0" t="str">
        <f aca="false">IF($A467="","",$L467-$K467+1)</f>
        <v/>
      </c>
      <c r="O467" s="39" t="str">
        <f aca="true">IF($A467="","",IF(OR($I467="Completed",$I467="Cancelled"),0,$L467-TODAY()))</f>
        <v/>
      </c>
      <c r="Q467" s="3"/>
      <c r="S467" s="0" t="str">
        <f aca="false">IF($A467="","",IF(AND($O467&lt;0,$I467&lt;&gt;"Completed",$I467&lt;&gt;"Cancelled"),1,0))</f>
        <v/>
      </c>
      <c r="T467" s="0" t="str">
        <f aca="false">IF($A467="","",IF($I467="Completed",ROW(),""))</f>
        <v/>
      </c>
      <c r="U467" s="0" t="str">
        <f aca="false">IF($A467="","",IF(OR($I467="Not Started",$I467="Planning",$I467="Blocked"),ROW(),""))</f>
        <v/>
      </c>
    </row>
    <row r="468" customFormat="false" ht="15" hidden="false" customHeight="false" outlineLevel="0" collapsed="false">
      <c r="B468" s="3"/>
      <c r="F468" s="3"/>
      <c r="G468" s="3"/>
      <c r="H468" s="3"/>
      <c r="I468" s="3"/>
      <c r="J468" s="37" t="str">
        <f aca="false">IF($A468="","",IFERROR(INDEX(Lists!$B$2:$B$10,MATCH($I468,Lists!$A$2:$A$10,0)),""))</f>
        <v/>
      </c>
      <c r="N468" s="0" t="str">
        <f aca="false">IF($A468="","",$L468-$K468+1)</f>
        <v/>
      </c>
      <c r="O468" s="39" t="str">
        <f aca="true">IF($A468="","",IF(OR($I468="Completed",$I468="Cancelled"),0,$L468-TODAY()))</f>
        <v/>
      </c>
      <c r="Q468" s="3"/>
      <c r="S468" s="0" t="str">
        <f aca="false">IF($A468="","",IF(AND($O468&lt;0,$I468&lt;&gt;"Completed",$I468&lt;&gt;"Cancelled"),1,0))</f>
        <v/>
      </c>
      <c r="T468" s="0" t="str">
        <f aca="false">IF($A468="","",IF($I468="Completed",ROW(),""))</f>
        <v/>
      </c>
      <c r="U468" s="0" t="str">
        <f aca="false">IF($A468="","",IF(OR($I468="Not Started",$I468="Planning",$I468="Blocked"),ROW(),""))</f>
        <v/>
      </c>
    </row>
    <row r="469" customFormat="false" ht="15" hidden="false" customHeight="false" outlineLevel="0" collapsed="false">
      <c r="B469" s="3"/>
      <c r="F469" s="3"/>
      <c r="G469" s="3"/>
      <c r="H469" s="3"/>
      <c r="I469" s="3"/>
      <c r="J469" s="37" t="str">
        <f aca="false">IF($A469="","",IFERROR(INDEX(Lists!$B$2:$B$10,MATCH($I469,Lists!$A$2:$A$10,0)),""))</f>
        <v/>
      </c>
      <c r="N469" s="0" t="str">
        <f aca="false">IF($A469="","",$L469-$K469+1)</f>
        <v/>
      </c>
      <c r="O469" s="39" t="str">
        <f aca="true">IF($A469="","",IF(OR($I469="Completed",$I469="Cancelled"),0,$L469-TODAY()))</f>
        <v/>
      </c>
      <c r="Q469" s="3"/>
      <c r="S469" s="0" t="str">
        <f aca="false">IF($A469="","",IF(AND($O469&lt;0,$I469&lt;&gt;"Completed",$I469&lt;&gt;"Cancelled"),1,0))</f>
        <v/>
      </c>
      <c r="T469" s="0" t="str">
        <f aca="false">IF($A469="","",IF($I469="Completed",ROW(),""))</f>
        <v/>
      </c>
      <c r="U469" s="0" t="str">
        <f aca="false">IF($A469="","",IF(OR($I469="Not Started",$I469="Planning",$I469="Blocked"),ROW(),""))</f>
        <v/>
      </c>
    </row>
    <row r="470" customFormat="false" ht="15" hidden="false" customHeight="false" outlineLevel="0" collapsed="false">
      <c r="B470" s="3"/>
      <c r="F470" s="3"/>
      <c r="G470" s="3"/>
      <c r="H470" s="3"/>
      <c r="I470" s="3"/>
      <c r="J470" s="37" t="str">
        <f aca="false">IF($A470="","",IFERROR(INDEX(Lists!$B$2:$B$10,MATCH($I470,Lists!$A$2:$A$10,0)),""))</f>
        <v/>
      </c>
      <c r="N470" s="0" t="str">
        <f aca="false">IF($A470="","",$L470-$K470+1)</f>
        <v/>
      </c>
      <c r="O470" s="39" t="str">
        <f aca="true">IF($A470="","",IF(OR($I470="Completed",$I470="Cancelled"),0,$L470-TODAY()))</f>
        <v/>
      </c>
      <c r="Q470" s="3"/>
      <c r="S470" s="0" t="str">
        <f aca="false">IF($A470="","",IF(AND($O470&lt;0,$I470&lt;&gt;"Completed",$I470&lt;&gt;"Cancelled"),1,0))</f>
        <v/>
      </c>
      <c r="T470" s="0" t="str">
        <f aca="false">IF($A470="","",IF($I470="Completed",ROW(),""))</f>
        <v/>
      </c>
      <c r="U470" s="0" t="str">
        <f aca="false">IF($A470="","",IF(OR($I470="Not Started",$I470="Planning",$I470="Blocked"),ROW(),""))</f>
        <v/>
      </c>
    </row>
    <row r="471" customFormat="false" ht="15" hidden="false" customHeight="false" outlineLevel="0" collapsed="false">
      <c r="B471" s="3"/>
      <c r="F471" s="3"/>
      <c r="G471" s="3"/>
      <c r="H471" s="3"/>
      <c r="I471" s="3"/>
      <c r="J471" s="37" t="str">
        <f aca="false">IF($A471="","",IFERROR(INDEX(Lists!$B$2:$B$10,MATCH($I471,Lists!$A$2:$A$10,0)),""))</f>
        <v/>
      </c>
      <c r="N471" s="0" t="str">
        <f aca="false">IF($A471="","",$L471-$K471+1)</f>
        <v/>
      </c>
      <c r="O471" s="39" t="str">
        <f aca="true">IF($A471="","",IF(OR($I471="Completed",$I471="Cancelled"),0,$L471-TODAY()))</f>
        <v/>
      </c>
      <c r="Q471" s="3"/>
      <c r="S471" s="0" t="str">
        <f aca="false">IF($A471="","",IF(AND($O471&lt;0,$I471&lt;&gt;"Completed",$I471&lt;&gt;"Cancelled"),1,0))</f>
        <v/>
      </c>
      <c r="T471" s="0" t="str">
        <f aca="false">IF($A471="","",IF($I471="Completed",ROW(),""))</f>
        <v/>
      </c>
      <c r="U471" s="0" t="str">
        <f aca="false">IF($A471="","",IF(OR($I471="Not Started",$I471="Planning",$I471="Blocked"),ROW(),""))</f>
        <v/>
      </c>
    </row>
    <row r="472" customFormat="false" ht="15" hidden="false" customHeight="false" outlineLevel="0" collapsed="false">
      <c r="B472" s="3"/>
      <c r="F472" s="3"/>
      <c r="G472" s="3"/>
      <c r="H472" s="3"/>
      <c r="I472" s="3"/>
      <c r="J472" s="37" t="str">
        <f aca="false">IF($A472="","",IFERROR(INDEX(Lists!$B$2:$B$10,MATCH($I472,Lists!$A$2:$A$10,0)),""))</f>
        <v/>
      </c>
      <c r="N472" s="0" t="str">
        <f aca="false">IF($A472="","",$L472-$K472+1)</f>
        <v/>
      </c>
      <c r="O472" s="39" t="str">
        <f aca="true">IF($A472="","",IF(OR($I472="Completed",$I472="Cancelled"),0,$L472-TODAY()))</f>
        <v/>
      </c>
      <c r="Q472" s="3"/>
      <c r="S472" s="0" t="str">
        <f aca="false">IF($A472="","",IF(AND($O472&lt;0,$I472&lt;&gt;"Completed",$I472&lt;&gt;"Cancelled"),1,0))</f>
        <v/>
      </c>
      <c r="T472" s="0" t="str">
        <f aca="false">IF($A472="","",IF($I472="Completed",ROW(),""))</f>
        <v/>
      </c>
      <c r="U472" s="0" t="str">
        <f aca="false">IF($A472="","",IF(OR($I472="Not Started",$I472="Planning",$I472="Blocked"),ROW(),""))</f>
        <v/>
      </c>
    </row>
    <row r="473" customFormat="false" ht="15" hidden="false" customHeight="false" outlineLevel="0" collapsed="false">
      <c r="B473" s="3"/>
      <c r="F473" s="3"/>
      <c r="G473" s="3"/>
      <c r="H473" s="3"/>
      <c r="I473" s="3"/>
      <c r="J473" s="37" t="str">
        <f aca="false">IF($A473="","",IFERROR(INDEX(Lists!$B$2:$B$10,MATCH($I473,Lists!$A$2:$A$10,0)),""))</f>
        <v/>
      </c>
      <c r="N473" s="0" t="str">
        <f aca="false">IF($A473="","",$L473-$K473+1)</f>
        <v/>
      </c>
      <c r="O473" s="39" t="str">
        <f aca="true">IF($A473="","",IF(OR($I473="Completed",$I473="Cancelled"),0,$L473-TODAY()))</f>
        <v/>
      </c>
      <c r="Q473" s="3"/>
      <c r="S473" s="0" t="str">
        <f aca="false">IF($A473="","",IF(AND($O473&lt;0,$I473&lt;&gt;"Completed",$I473&lt;&gt;"Cancelled"),1,0))</f>
        <v/>
      </c>
      <c r="T473" s="0" t="str">
        <f aca="false">IF($A473="","",IF($I473="Completed",ROW(),""))</f>
        <v/>
      </c>
      <c r="U473" s="0" t="str">
        <f aca="false">IF($A473="","",IF(OR($I473="Not Started",$I473="Planning",$I473="Blocked"),ROW(),""))</f>
        <v/>
      </c>
    </row>
    <row r="474" customFormat="false" ht="15" hidden="false" customHeight="false" outlineLevel="0" collapsed="false">
      <c r="B474" s="3"/>
      <c r="F474" s="3"/>
      <c r="G474" s="3"/>
      <c r="H474" s="3"/>
      <c r="I474" s="3"/>
      <c r="J474" s="37" t="str">
        <f aca="false">IF($A474="","",IFERROR(INDEX(Lists!$B$2:$B$10,MATCH($I474,Lists!$A$2:$A$10,0)),""))</f>
        <v/>
      </c>
      <c r="N474" s="0" t="str">
        <f aca="false">IF($A474="","",$L474-$K474+1)</f>
        <v/>
      </c>
      <c r="O474" s="39" t="str">
        <f aca="true">IF($A474="","",IF(OR($I474="Completed",$I474="Cancelled"),0,$L474-TODAY()))</f>
        <v/>
      </c>
      <c r="Q474" s="3"/>
      <c r="S474" s="0" t="str">
        <f aca="false">IF($A474="","",IF(AND($O474&lt;0,$I474&lt;&gt;"Completed",$I474&lt;&gt;"Cancelled"),1,0))</f>
        <v/>
      </c>
      <c r="T474" s="0" t="str">
        <f aca="false">IF($A474="","",IF($I474="Completed",ROW(),""))</f>
        <v/>
      </c>
      <c r="U474" s="0" t="str">
        <f aca="false">IF($A474="","",IF(OR($I474="Not Started",$I474="Planning",$I474="Blocked"),ROW(),""))</f>
        <v/>
      </c>
    </row>
    <row r="475" customFormat="false" ht="15" hidden="false" customHeight="false" outlineLevel="0" collapsed="false">
      <c r="B475" s="3"/>
      <c r="F475" s="3"/>
      <c r="G475" s="3"/>
      <c r="H475" s="3"/>
      <c r="I475" s="3"/>
      <c r="J475" s="37" t="str">
        <f aca="false">IF($A475="","",IFERROR(INDEX(Lists!$B$2:$B$10,MATCH($I475,Lists!$A$2:$A$10,0)),""))</f>
        <v/>
      </c>
      <c r="N475" s="0" t="str">
        <f aca="false">IF($A475="","",$L475-$K475+1)</f>
        <v/>
      </c>
      <c r="O475" s="39" t="str">
        <f aca="true">IF($A475="","",IF(OR($I475="Completed",$I475="Cancelled"),0,$L475-TODAY()))</f>
        <v/>
      </c>
      <c r="Q475" s="3"/>
      <c r="S475" s="0" t="str">
        <f aca="false">IF($A475="","",IF(AND($O475&lt;0,$I475&lt;&gt;"Completed",$I475&lt;&gt;"Cancelled"),1,0))</f>
        <v/>
      </c>
      <c r="T475" s="0" t="str">
        <f aca="false">IF($A475="","",IF($I475="Completed",ROW(),""))</f>
        <v/>
      </c>
      <c r="U475" s="0" t="str">
        <f aca="false">IF($A475="","",IF(OR($I475="Not Started",$I475="Planning",$I475="Blocked"),ROW(),""))</f>
        <v/>
      </c>
    </row>
    <row r="476" customFormat="false" ht="15" hidden="false" customHeight="false" outlineLevel="0" collapsed="false">
      <c r="B476" s="3"/>
      <c r="F476" s="3"/>
      <c r="G476" s="3"/>
      <c r="H476" s="3"/>
      <c r="I476" s="3"/>
      <c r="J476" s="37" t="str">
        <f aca="false">IF($A476="","",IFERROR(INDEX(Lists!$B$2:$B$10,MATCH($I476,Lists!$A$2:$A$10,0)),""))</f>
        <v/>
      </c>
      <c r="N476" s="0" t="str">
        <f aca="false">IF($A476="","",$L476-$K476+1)</f>
        <v/>
      </c>
      <c r="O476" s="39" t="str">
        <f aca="true">IF($A476="","",IF(OR($I476="Completed",$I476="Cancelled"),0,$L476-TODAY()))</f>
        <v/>
      </c>
      <c r="Q476" s="3"/>
      <c r="S476" s="0" t="str">
        <f aca="false">IF($A476="","",IF(AND($O476&lt;0,$I476&lt;&gt;"Completed",$I476&lt;&gt;"Cancelled"),1,0))</f>
        <v/>
      </c>
      <c r="T476" s="0" t="str">
        <f aca="false">IF($A476="","",IF($I476="Completed",ROW(),""))</f>
        <v/>
      </c>
      <c r="U476" s="0" t="str">
        <f aca="false">IF($A476="","",IF(OR($I476="Not Started",$I476="Planning",$I476="Blocked"),ROW(),""))</f>
        <v/>
      </c>
    </row>
    <row r="477" customFormat="false" ht="15" hidden="false" customHeight="false" outlineLevel="0" collapsed="false">
      <c r="B477" s="3"/>
      <c r="F477" s="3"/>
      <c r="G477" s="3"/>
      <c r="H477" s="3"/>
      <c r="I477" s="3"/>
      <c r="J477" s="37" t="str">
        <f aca="false">IF($A477="","",IFERROR(INDEX(Lists!$B$2:$B$10,MATCH($I477,Lists!$A$2:$A$10,0)),""))</f>
        <v/>
      </c>
      <c r="N477" s="0" t="str">
        <f aca="false">IF($A477="","",$L477-$K477+1)</f>
        <v/>
      </c>
      <c r="O477" s="39" t="str">
        <f aca="true">IF($A477="","",IF(OR($I477="Completed",$I477="Cancelled"),0,$L477-TODAY()))</f>
        <v/>
      </c>
      <c r="Q477" s="3"/>
      <c r="S477" s="0" t="str">
        <f aca="false">IF($A477="","",IF(AND($O477&lt;0,$I477&lt;&gt;"Completed",$I477&lt;&gt;"Cancelled"),1,0))</f>
        <v/>
      </c>
      <c r="T477" s="0" t="str">
        <f aca="false">IF($A477="","",IF($I477="Completed",ROW(),""))</f>
        <v/>
      </c>
      <c r="U477" s="0" t="str">
        <f aca="false">IF($A477="","",IF(OR($I477="Not Started",$I477="Planning",$I477="Blocked"),ROW(),""))</f>
        <v/>
      </c>
    </row>
    <row r="478" customFormat="false" ht="15" hidden="false" customHeight="false" outlineLevel="0" collapsed="false">
      <c r="B478" s="3"/>
      <c r="F478" s="3"/>
      <c r="G478" s="3"/>
      <c r="H478" s="3"/>
      <c r="I478" s="3"/>
      <c r="J478" s="37" t="str">
        <f aca="false">IF($A478="","",IFERROR(INDEX(Lists!$B$2:$B$10,MATCH($I478,Lists!$A$2:$A$10,0)),""))</f>
        <v/>
      </c>
      <c r="N478" s="0" t="str">
        <f aca="false">IF($A478="","",$L478-$K478+1)</f>
        <v/>
      </c>
      <c r="O478" s="39" t="str">
        <f aca="true">IF($A478="","",IF(OR($I478="Completed",$I478="Cancelled"),0,$L478-TODAY()))</f>
        <v/>
      </c>
      <c r="Q478" s="3"/>
      <c r="S478" s="0" t="str">
        <f aca="false">IF($A478="","",IF(AND($O478&lt;0,$I478&lt;&gt;"Completed",$I478&lt;&gt;"Cancelled"),1,0))</f>
        <v/>
      </c>
      <c r="T478" s="0" t="str">
        <f aca="false">IF($A478="","",IF($I478="Completed",ROW(),""))</f>
        <v/>
      </c>
      <c r="U478" s="0" t="str">
        <f aca="false">IF($A478="","",IF(OR($I478="Not Started",$I478="Planning",$I478="Blocked"),ROW(),""))</f>
        <v/>
      </c>
    </row>
    <row r="479" customFormat="false" ht="15" hidden="false" customHeight="false" outlineLevel="0" collapsed="false">
      <c r="B479" s="3"/>
      <c r="F479" s="3"/>
      <c r="G479" s="3"/>
      <c r="H479" s="3"/>
      <c r="I479" s="3"/>
      <c r="J479" s="37" t="str">
        <f aca="false">IF($A479="","",IFERROR(INDEX(Lists!$B$2:$B$10,MATCH($I479,Lists!$A$2:$A$10,0)),""))</f>
        <v/>
      </c>
      <c r="N479" s="0" t="str">
        <f aca="false">IF($A479="","",$L479-$K479+1)</f>
        <v/>
      </c>
      <c r="O479" s="39" t="str">
        <f aca="true">IF($A479="","",IF(OR($I479="Completed",$I479="Cancelled"),0,$L479-TODAY()))</f>
        <v/>
      </c>
      <c r="Q479" s="3"/>
      <c r="S479" s="0" t="str">
        <f aca="false">IF($A479="","",IF(AND($O479&lt;0,$I479&lt;&gt;"Completed",$I479&lt;&gt;"Cancelled"),1,0))</f>
        <v/>
      </c>
      <c r="T479" s="0" t="str">
        <f aca="false">IF($A479="","",IF($I479="Completed",ROW(),""))</f>
        <v/>
      </c>
      <c r="U479" s="0" t="str">
        <f aca="false">IF($A479="","",IF(OR($I479="Not Started",$I479="Planning",$I479="Blocked"),ROW(),""))</f>
        <v/>
      </c>
    </row>
    <row r="480" customFormat="false" ht="15" hidden="false" customHeight="false" outlineLevel="0" collapsed="false">
      <c r="B480" s="3"/>
      <c r="F480" s="3"/>
      <c r="G480" s="3"/>
      <c r="H480" s="3"/>
      <c r="I480" s="3"/>
      <c r="J480" s="37" t="str">
        <f aca="false">IF($A480="","",IFERROR(INDEX(Lists!$B$2:$B$10,MATCH($I480,Lists!$A$2:$A$10,0)),""))</f>
        <v/>
      </c>
      <c r="N480" s="0" t="str">
        <f aca="false">IF($A480="","",$L480-$K480+1)</f>
        <v/>
      </c>
      <c r="O480" s="39" t="str">
        <f aca="true">IF($A480="","",IF(OR($I480="Completed",$I480="Cancelled"),0,$L480-TODAY()))</f>
        <v/>
      </c>
      <c r="Q480" s="3"/>
      <c r="S480" s="0" t="str">
        <f aca="false">IF($A480="","",IF(AND($O480&lt;0,$I480&lt;&gt;"Completed",$I480&lt;&gt;"Cancelled"),1,0))</f>
        <v/>
      </c>
      <c r="T480" s="0" t="str">
        <f aca="false">IF($A480="","",IF($I480="Completed",ROW(),""))</f>
        <v/>
      </c>
      <c r="U480" s="0" t="str">
        <f aca="false">IF($A480="","",IF(OR($I480="Not Started",$I480="Planning",$I480="Blocked"),ROW(),""))</f>
        <v/>
      </c>
    </row>
    <row r="481" customFormat="false" ht="15" hidden="false" customHeight="false" outlineLevel="0" collapsed="false">
      <c r="B481" s="3"/>
      <c r="F481" s="3"/>
      <c r="G481" s="3"/>
      <c r="H481" s="3"/>
      <c r="I481" s="3"/>
      <c r="J481" s="37" t="str">
        <f aca="false">IF($A481="","",IFERROR(INDEX(Lists!$B$2:$B$10,MATCH($I481,Lists!$A$2:$A$10,0)),""))</f>
        <v/>
      </c>
      <c r="N481" s="0" t="str">
        <f aca="false">IF($A481="","",$L481-$K481+1)</f>
        <v/>
      </c>
      <c r="O481" s="39" t="str">
        <f aca="true">IF($A481="","",IF(OR($I481="Completed",$I481="Cancelled"),0,$L481-TODAY()))</f>
        <v/>
      </c>
      <c r="Q481" s="3"/>
      <c r="S481" s="0" t="str">
        <f aca="false">IF($A481="","",IF(AND($O481&lt;0,$I481&lt;&gt;"Completed",$I481&lt;&gt;"Cancelled"),1,0))</f>
        <v/>
      </c>
      <c r="T481" s="0" t="str">
        <f aca="false">IF($A481="","",IF($I481="Completed",ROW(),""))</f>
        <v/>
      </c>
      <c r="U481" s="0" t="str">
        <f aca="false">IF($A481="","",IF(OR($I481="Not Started",$I481="Planning",$I481="Blocked"),ROW(),""))</f>
        <v/>
      </c>
    </row>
    <row r="482" customFormat="false" ht="15" hidden="false" customHeight="false" outlineLevel="0" collapsed="false">
      <c r="B482" s="3"/>
      <c r="F482" s="3"/>
      <c r="G482" s="3"/>
      <c r="H482" s="3"/>
      <c r="I482" s="3"/>
      <c r="J482" s="37" t="str">
        <f aca="false">IF($A482="","",IFERROR(INDEX(Lists!$B$2:$B$10,MATCH($I482,Lists!$A$2:$A$10,0)),""))</f>
        <v/>
      </c>
      <c r="N482" s="0" t="str">
        <f aca="false">IF($A482="","",$L482-$K482+1)</f>
        <v/>
      </c>
      <c r="O482" s="39" t="str">
        <f aca="true">IF($A482="","",IF(OR($I482="Completed",$I482="Cancelled"),0,$L482-TODAY()))</f>
        <v/>
      </c>
      <c r="Q482" s="3"/>
      <c r="S482" s="0" t="str">
        <f aca="false">IF($A482="","",IF(AND($O482&lt;0,$I482&lt;&gt;"Completed",$I482&lt;&gt;"Cancelled"),1,0))</f>
        <v/>
      </c>
      <c r="T482" s="0" t="str">
        <f aca="false">IF($A482="","",IF($I482="Completed",ROW(),""))</f>
        <v/>
      </c>
      <c r="U482" s="0" t="str">
        <f aca="false">IF($A482="","",IF(OR($I482="Not Started",$I482="Planning",$I482="Blocked"),ROW(),""))</f>
        <v/>
      </c>
    </row>
    <row r="483" customFormat="false" ht="15" hidden="false" customHeight="false" outlineLevel="0" collapsed="false">
      <c r="B483" s="3"/>
      <c r="F483" s="3"/>
      <c r="G483" s="3"/>
      <c r="H483" s="3"/>
      <c r="I483" s="3"/>
      <c r="J483" s="37" t="str">
        <f aca="false">IF($A483="","",IFERROR(INDEX(Lists!$B$2:$B$10,MATCH($I483,Lists!$A$2:$A$10,0)),""))</f>
        <v/>
      </c>
      <c r="N483" s="0" t="str">
        <f aca="false">IF($A483="","",$L483-$K483+1)</f>
        <v/>
      </c>
      <c r="O483" s="39" t="str">
        <f aca="true">IF($A483="","",IF(OR($I483="Completed",$I483="Cancelled"),0,$L483-TODAY()))</f>
        <v/>
      </c>
      <c r="Q483" s="3"/>
      <c r="S483" s="0" t="str">
        <f aca="false">IF($A483="","",IF(AND($O483&lt;0,$I483&lt;&gt;"Completed",$I483&lt;&gt;"Cancelled"),1,0))</f>
        <v/>
      </c>
      <c r="T483" s="0" t="str">
        <f aca="false">IF($A483="","",IF($I483="Completed",ROW(),""))</f>
        <v/>
      </c>
      <c r="U483" s="0" t="str">
        <f aca="false">IF($A483="","",IF(OR($I483="Not Started",$I483="Planning",$I483="Blocked"),ROW(),""))</f>
        <v/>
      </c>
    </row>
    <row r="484" customFormat="false" ht="15" hidden="false" customHeight="false" outlineLevel="0" collapsed="false">
      <c r="B484" s="3"/>
      <c r="F484" s="3"/>
      <c r="G484" s="3"/>
      <c r="H484" s="3"/>
      <c r="I484" s="3"/>
      <c r="J484" s="37" t="str">
        <f aca="false">IF($A484="","",IFERROR(INDEX(Lists!$B$2:$B$10,MATCH($I484,Lists!$A$2:$A$10,0)),""))</f>
        <v/>
      </c>
      <c r="N484" s="0" t="str">
        <f aca="false">IF($A484="","",$L484-$K484+1)</f>
        <v/>
      </c>
      <c r="O484" s="39" t="str">
        <f aca="true">IF($A484="","",IF(OR($I484="Completed",$I484="Cancelled"),0,$L484-TODAY()))</f>
        <v/>
      </c>
      <c r="Q484" s="3"/>
      <c r="S484" s="0" t="str">
        <f aca="false">IF($A484="","",IF(AND($O484&lt;0,$I484&lt;&gt;"Completed",$I484&lt;&gt;"Cancelled"),1,0))</f>
        <v/>
      </c>
      <c r="T484" s="0" t="str">
        <f aca="false">IF($A484="","",IF($I484="Completed",ROW(),""))</f>
        <v/>
      </c>
      <c r="U484" s="0" t="str">
        <f aca="false">IF($A484="","",IF(OR($I484="Not Started",$I484="Planning",$I484="Blocked"),ROW(),""))</f>
        <v/>
      </c>
    </row>
    <row r="485" customFormat="false" ht="15" hidden="false" customHeight="false" outlineLevel="0" collapsed="false">
      <c r="B485" s="3"/>
      <c r="F485" s="3"/>
      <c r="G485" s="3"/>
      <c r="H485" s="3"/>
      <c r="I485" s="3"/>
      <c r="J485" s="37" t="str">
        <f aca="false">IF($A485="","",IFERROR(INDEX(Lists!$B$2:$B$10,MATCH($I485,Lists!$A$2:$A$10,0)),""))</f>
        <v/>
      </c>
      <c r="N485" s="0" t="str">
        <f aca="false">IF($A485="","",$L485-$K485+1)</f>
        <v/>
      </c>
      <c r="O485" s="39" t="str">
        <f aca="true">IF($A485="","",IF(OR($I485="Completed",$I485="Cancelled"),0,$L485-TODAY()))</f>
        <v/>
      </c>
      <c r="Q485" s="3"/>
      <c r="S485" s="0" t="str">
        <f aca="false">IF($A485="","",IF(AND($O485&lt;0,$I485&lt;&gt;"Completed",$I485&lt;&gt;"Cancelled"),1,0))</f>
        <v/>
      </c>
      <c r="T485" s="0" t="str">
        <f aca="false">IF($A485="","",IF($I485="Completed",ROW(),""))</f>
        <v/>
      </c>
      <c r="U485" s="0" t="str">
        <f aca="false">IF($A485="","",IF(OR($I485="Not Started",$I485="Planning",$I485="Blocked"),ROW(),""))</f>
        <v/>
      </c>
    </row>
    <row r="486" customFormat="false" ht="15" hidden="false" customHeight="false" outlineLevel="0" collapsed="false">
      <c r="B486" s="3"/>
      <c r="F486" s="3"/>
      <c r="G486" s="3"/>
      <c r="H486" s="3"/>
      <c r="I486" s="3"/>
      <c r="J486" s="37" t="str">
        <f aca="false">IF($A486="","",IFERROR(INDEX(Lists!$B$2:$B$10,MATCH($I486,Lists!$A$2:$A$10,0)),""))</f>
        <v/>
      </c>
      <c r="N486" s="0" t="str">
        <f aca="false">IF($A486="","",$L486-$K486+1)</f>
        <v/>
      </c>
      <c r="O486" s="39" t="str">
        <f aca="true">IF($A486="","",IF(OR($I486="Completed",$I486="Cancelled"),0,$L486-TODAY()))</f>
        <v/>
      </c>
      <c r="Q486" s="3"/>
      <c r="S486" s="0" t="str">
        <f aca="false">IF($A486="","",IF(AND($O486&lt;0,$I486&lt;&gt;"Completed",$I486&lt;&gt;"Cancelled"),1,0))</f>
        <v/>
      </c>
      <c r="T486" s="0" t="str">
        <f aca="false">IF($A486="","",IF($I486="Completed",ROW(),""))</f>
        <v/>
      </c>
      <c r="U486" s="0" t="str">
        <f aca="false">IF($A486="","",IF(OR($I486="Not Started",$I486="Planning",$I486="Blocked"),ROW(),""))</f>
        <v/>
      </c>
    </row>
    <row r="487" customFormat="false" ht="15" hidden="false" customHeight="false" outlineLevel="0" collapsed="false">
      <c r="B487" s="3"/>
      <c r="F487" s="3"/>
      <c r="G487" s="3"/>
      <c r="H487" s="3"/>
      <c r="I487" s="3"/>
      <c r="J487" s="37" t="str">
        <f aca="false">IF($A487="","",IFERROR(INDEX(Lists!$B$2:$B$10,MATCH($I487,Lists!$A$2:$A$10,0)),""))</f>
        <v/>
      </c>
      <c r="N487" s="0" t="str">
        <f aca="false">IF($A487="","",$L487-$K487+1)</f>
        <v/>
      </c>
      <c r="O487" s="39" t="str">
        <f aca="true">IF($A487="","",IF(OR($I487="Completed",$I487="Cancelled"),0,$L487-TODAY()))</f>
        <v/>
      </c>
      <c r="Q487" s="3"/>
      <c r="S487" s="0" t="str">
        <f aca="false">IF($A487="","",IF(AND($O487&lt;0,$I487&lt;&gt;"Completed",$I487&lt;&gt;"Cancelled"),1,0))</f>
        <v/>
      </c>
      <c r="T487" s="0" t="str">
        <f aca="false">IF($A487="","",IF($I487="Completed",ROW(),""))</f>
        <v/>
      </c>
      <c r="U487" s="0" t="str">
        <f aca="false">IF($A487="","",IF(OR($I487="Not Started",$I487="Planning",$I487="Blocked"),ROW(),""))</f>
        <v/>
      </c>
    </row>
    <row r="488" customFormat="false" ht="15" hidden="false" customHeight="false" outlineLevel="0" collapsed="false">
      <c r="B488" s="3"/>
      <c r="F488" s="3"/>
      <c r="G488" s="3"/>
      <c r="H488" s="3"/>
      <c r="I488" s="3"/>
      <c r="J488" s="37" t="str">
        <f aca="false">IF($A488="","",IFERROR(INDEX(Lists!$B$2:$B$10,MATCH($I488,Lists!$A$2:$A$10,0)),""))</f>
        <v/>
      </c>
      <c r="N488" s="0" t="str">
        <f aca="false">IF($A488="","",$L488-$K488+1)</f>
        <v/>
      </c>
      <c r="O488" s="39" t="str">
        <f aca="true">IF($A488="","",IF(OR($I488="Completed",$I488="Cancelled"),0,$L488-TODAY()))</f>
        <v/>
      </c>
      <c r="Q488" s="3"/>
      <c r="S488" s="0" t="str">
        <f aca="false">IF($A488="","",IF(AND($O488&lt;0,$I488&lt;&gt;"Completed",$I488&lt;&gt;"Cancelled"),1,0))</f>
        <v/>
      </c>
      <c r="T488" s="0" t="str">
        <f aca="false">IF($A488="","",IF($I488="Completed",ROW(),""))</f>
        <v/>
      </c>
      <c r="U488" s="0" t="str">
        <f aca="false">IF($A488="","",IF(OR($I488="Not Started",$I488="Planning",$I488="Blocked"),ROW(),""))</f>
        <v/>
      </c>
    </row>
    <row r="489" customFormat="false" ht="15" hidden="false" customHeight="false" outlineLevel="0" collapsed="false">
      <c r="B489" s="3"/>
      <c r="F489" s="3"/>
      <c r="G489" s="3"/>
      <c r="H489" s="3"/>
      <c r="I489" s="3"/>
      <c r="J489" s="37" t="str">
        <f aca="false">IF($A489="","",IFERROR(INDEX(Lists!$B$2:$B$10,MATCH($I489,Lists!$A$2:$A$10,0)),""))</f>
        <v/>
      </c>
      <c r="N489" s="0" t="str">
        <f aca="false">IF($A489="","",$L489-$K489+1)</f>
        <v/>
      </c>
      <c r="O489" s="39" t="str">
        <f aca="true">IF($A489="","",IF(OR($I489="Completed",$I489="Cancelled"),0,$L489-TODAY()))</f>
        <v/>
      </c>
      <c r="Q489" s="3"/>
      <c r="S489" s="0" t="str">
        <f aca="false">IF($A489="","",IF(AND($O489&lt;0,$I489&lt;&gt;"Completed",$I489&lt;&gt;"Cancelled"),1,0))</f>
        <v/>
      </c>
      <c r="T489" s="0" t="str">
        <f aca="false">IF($A489="","",IF($I489="Completed",ROW(),""))</f>
        <v/>
      </c>
      <c r="U489" s="0" t="str">
        <f aca="false">IF($A489="","",IF(OR($I489="Not Started",$I489="Planning",$I489="Blocked"),ROW(),""))</f>
        <v/>
      </c>
    </row>
    <row r="490" customFormat="false" ht="15" hidden="false" customHeight="false" outlineLevel="0" collapsed="false">
      <c r="B490" s="3"/>
      <c r="F490" s="3"/>
      <c r="G490" s="3"/>
      <c r="H490" s="3"/>
      <c r="I490" s="3"/>
      <c r="J490" s="37" t="str">
        <f aca="false">IF($A490="","",IFERROR(INDEX(Lists!$B$2:$B$10,MATCH($I490,Lists!$A$2:$A$10,0)),""))</f>
        <v/>
      </c>
      <c r="N490" s="0" t="str">
        <f aca="false">IF($A490="","",$L490-$K490+1)</f>
        <v/>
      </c>
      <c r="O490" s="39" t="str">
        <f aca="true">IF($A490="","",IF(OR($I490="Completed",$I490="Cancelled"),0,$L490-TODAY()))</f>
        <v/>
      </c>
      <c r="Q490" s="3"/>
      <c r="S490" s="0" t="str">
        <f aca="false">IF($A490="","",IF(AND($O490&lt;0,$I490&lt;&gt;"Completed",$I490&lt;&gt;"Cancelled"),1,0))</f>
        <v/>
      </c>
      <c r="T490" s="0" t="str">
        <f aca="false">IF($A490="","",IF($I490="Completed",ROW(),""))</f>
        <v/>
      </c>
      <c r="U490" s="0" t="str">
        <f aca="false">IF($A490="","",IF(OR($I490="Not Started",$I490="Planning",$I490="Blocked"),ROW(),""))</f>
        <v/>
      </c>
    </row>
    <row r="491" customFormat="false" ht="15" hidden="false" customHeight="false" outlineLevel="0" collapsed="false">
      <c r="B491" s="3"/>
      <c r="F491" s="3"/>
      <c r="G491" s="3"/>
      <c r="H491" s="3"/>
      <c r="I491" s="3"/>
      <c r="J491" s="37" t="str">
        <f aca="false">IF($A491="","",IFERROR(INDEX(Lists!$B$2:$B$10,MATCH($I491,Lists!$A$2:$A$10,0)),""))</f>
        <v/>
      </c>
      <c r="N491" s="0" t="str">
        <f aca="false">IF($A491="","",$L491-$K491+1)</f>
        <v/>
      </c>
      <c r="O491" s="39" t="str">
        <f aca="true">IF($A491="","",IF(OR($I491="Completed",$I491="Cancelled"),0,$L491-TODAY()))</f>
        <v/>
      </c>
      <c r="Q491" s="3"/>
      <c r="S491" s="0" t="str">
        <f aca="false">IF($A491="","",IF(AND($O491&lt;0,$I491&lt;&gt;"Completed",$I491&lt;&gt;"Cancelled"),1,0))</f>
        <v/>
      </c>
      <c r="T491" s="0" t="str">
        <f aca="false">IF($A491="","",IF($I491="Completed",ROW(),""))</f>
        <v/>
      </c>
      <c r="U491" s="0" t="str">
        <f aca="false">IF($A491="","",IF(OR($I491="Not Started",$I491="Planning",$I491="Blocked"),ROW(),""))</f>
        <v/>
      </c>
    </row>
    <row r="492" customFormat="false" ht="15" hidden="false" customHeight="false" outlineLevel="0" collapsed="false">
      <c r="B492" s="3"/>
      <c r="F492" s="3"/>
      <c r="G492" s="3"/>
      <c r="H492" s="3"/>
      <c r="I492" s="3"/>
      <c r="J492" s="37" t="str">
        <f aca="false">IF($A492="","",IFERROR(INDEX(Lists!$B$2:$B$10,MATCH($I492,Lists!$A$2:$A$10,0)),""))</f>
        <v/>
      </c>
      <c r="N492" s="0" t="str">
        <f aca="false">IF($A492="","",$L492-$K492+1)</f>
        <v/>
      </c>
      <c r="O492" s="39" t="str">
        <f aca="true">IF($A492="","",IF(OR($I492="Completed",$I492="Cancelled"),0,$L492-TODAY()))</f>
        <v/>
      </c>
      <c r="Q492" s="3"/>
      <c r="S492" s="0" t="str">
        <f aca="false">IF($A492="","",IF(AND($O492&lt;0,$I492&lt;&gt;"Completed",$I492&lt;&gt;"Cancelled"),1,0))</f>
        <v/>
      </c>
      <c r="T492" s="0" t="str">
        <f aca="false">IF($A492="","",IF($I492="Completed",ROW(),""))</f>
        <v/>
      </c>
      <c r="U492" s="0" t="str">
        <f aca="false">IF($A492="","",IF(OR($I492="Not Started",$I492="Planning",$I492="Blocked"),ROW(),""))</f>
        <v/>
      </c>
    </row>
    <row r="493" customFormat="false" ht="15" hidden="false" customHeight="false" outlineLevel="0" collapsed="false">
      <c r="B493" s="3"/>
      <c r="F493" s="3"/>
      <c r="G493" s="3"/>
      <c r="H493" s="3"/>
      <c r="I493" s="3"/>
      <c r="J493" s="37" t="str">
        <f aca="false">IF($A493="","",IFERROR(INDEX(Lists!$B$2:$B$10,MATCH($I493,Lists!$A$2:$A$10,0)),""))</f>
        <v/>
      </c>
      <c r="N493" s="0" t="str">
        <f aca="false">IF($A493="","",$L493-$K493+1)</f>
        <v/>
      </c>
      <c r="O493" s="39" t="str">
        <f aca="true">IF($A493="","",IF(OR($I493="Completed",$I493="Cancelled"),0,$L493-TODAY()))</f>
        <v/>
      </c>
      <c r="Q493" s="3"/>
      <c r="S493" s="0" t="str">
        <f aca="false">IF($A493="","",IF(AND($O493&lt;0,$I493&lt;&gt;"Completed",$I493&lt;&gt;"Cancelled"),1,0))</f>
        <v/>
      </c>
      <c r="T493" s="0" t="str">
        <f aca="false">IF($A493="","",IF($I493="Completed",ROW(),""))</f>
        <v/>
      </c>
      <c r="U493" s="0" t="str">
        <f aca="false">IF($A493="","",IF(OR($I493="Not Started",$I493="Planning",$I493="Blocked"),ROW(),""))</f>
        <v/>
      </c>
    </row>
    <row r="494" customFormat="false" ht="15" hidden="false" customHeight="false" outlineLevel="0" collapsed="false">
      <c r="B494" s="3"/>
      <c r="F494" s="3"/>
      <c r="G494" s="3"/>
      <c r="H494" s="3"/>
      <c r="I494" s="3"/>
      <c r="J494" s="37" t="str">
        <f aca="false">IF($A494="","",IFERROR(INDEX(Lists!$B$2:$B$10,MATCH($I494,Lists!$A$2:$A$10,0)),""))</f>
        <v/>
      </c>
      <c r="N494" s="0" t="str">
        <f aca="false">IF($A494="","",$L494-$K494+1)</f>
        <v/>
      </c>
      <c r="O494" s="39" t="str">
        <f aca="true">IF($A494="","",IF(OR($I494="Completed",$I494="Cancelled"),0,$L494-TODAY()))</f>
        <v/>
      </c>
      <c r="Q494" s="3"/>
      <c r="S494" s="0" t="str">
        <f aca="false">IF($A494="","",IF(AND($O494&lt;0,$I494&lt;&gt;"Completed",$I494&lt;&gt;"Cancelled"),1,0))</f>
        <v/>
      </c>
      <c r="T494" s="0" t="str">
        <f aca="false">IF($A494="","",IF($I494="Completed",ROW(),""))</f>
        <v/>
      </c>
      <c r="U494" s="0" t="str">
        <f aca="false">IF($A494="","",IF(OR($I494="Not Started",$I494="Planning",$I494="Blocked"),ROW(),""))</f>
        <v/>
      </c>
    </row>
    <row r="495" customFormat="false" ht="15" hidden="false" customHeight="false" outlineLevel="0" collapsed="false">
      <c r="B495" s="3"/>
      <c r="F495" s="3"/>
      <c r="G495" s="3"/>
      <c r="H495" s="3"/>
      <c r="I495" s="3"/>
      <c r="J495" s="37" t="str">
        <f aca="false">IF($A495="","",IFERROR(INDEX(Lists!$B$2:$B$10,MATCH($I495,Lists!$A$2:$A$10,0)),""))</f>
        <v/>
      </c>
      <c r="N495" s="0" t="str">
        <f aca="false">IF($A495="","",$L495-$K495+1)</f>
        <v/>
      </c>
      <c r="O495" s="39" t="str">
        <f aca="true">IF($A495="","",IF(OR($I495="Completed",$I495="Cancelled"),0,$L495-TODAY()))</f>
        <v/>
      </c>
      <c r="Q495" s="3"/>
      <c r="S495" s="0" t="str">
        <f aca="false">IF($A495="","",IF(AND($O495&lt;0,$I495&lt;&gt;"Completed",$I495&lt;&gt;"Cancelled"),1,0))</f>
        <v/>
      </c>
      <c r="T495" s="0" t="str">
        <f aca="false">IF($A495="","",IF($I495="Completed",ROW(),""))</f>
        <v/>
      </c>
      <c r="U495" s="0" t="str">
        <f aca="false">IF($A495="","",IF(OR($I495="Not Started",$I495="Planning",$I495="Blocked"),ROW(),""))</f>
        <v/>
      </c>
    </row>
    <row r="496" customFormat="false" ht="15" hidden="false" customHeight="false" outlineLevel="0" collapsed="false">
      <c r="B496" s="3"/>
      <c r="F496" s="3"/>
      <c r="G496" s="3"/>
      <c r="H496" s="3"/>
      <c r="I496" s="3"/>
      <c r="J496" s="37" t="str">
        <f aca="false">IF($A496="","",IFERROR(INDEX(Lists!$B$2:$B$10,MATCH($I496,Lists!$A$2:$A$10,0)),""))</f>
        <v/>
      </c>
      <c r="N496" s="0" t="str">
        <f aca="false">IF($A496="","",$L496-$K496+1)</f>
        <v/>
      </c>
      <c r="O496" s="39" t="str">
        <f aca="true">IF($A496="","",IF(OR($I496="Completed",$I496="Cancelled"),0,$L496-TODAY()))</f>
        <v/>
      </c>
      <c r="Q496" s="3"/>
      <c r="S496" s="0" t="str">
        <f aca="false">IF($A496="","",IF(AND($O496&lt;0,$I496&lt;&gt;"Completed",$I496&lt;&gt;"Cancelled"),1,0))</f>
        <v/>
      </c>
      <c r="T496" s="0" t="str">
        <f aca="false">IF($A496="","",IF($I496="Completed",ROW(),""))</f>
        <v/>
      </c>
      <c r="U496" s="0" t="str">
        <f aca="false">IF($A496="","",IF(OR($I496="Not Started",$I496="Planning",$I496="Blocked"),ROW(),""))</f>
        <v/>
      </c>
    </row>
    <row r="497" customFormat="false" ht="15" hidden="false" customHeight="false" outlineLevel="0" collapsed="false">
      <c r="B497" s="3"/>
      <c r="F497" s="3"/>
      <c r="G497" s="3"/>
      <c r="H497" s="3"/>
      <c r="I497" s="3"/>
      <c r="J497" s="37" t="str">
        <f aca="false">IF($A497="","",IFERROR(INDEX(Lists!$B$2:$B$10,MATCH($I497,Lists!$A$2:$A$10,0)),""))</f>
        <v/>
      </c>
      <c r="N497" s="0" t="str">
        <f aca="false">IF($A497="","",$L497-$K497+1)</f>
        <v/>
      </c>
      <c r="O497" s="39" t="str">
        <f aca="true">IF($A497="","",IF(OR($I497="Completed",$I497="Cancelled"),0,$L497-TODAY()))</f>
        <v/>
      </c>
      <c r="Q497" s="3"/>
      <c r="S497" s="0" t="str">
        <f aca="false">IF($A497="","",IF(AND($O497&lt;0,$I497&lt;&gt;"Completed",$I497&lt;&gt;"Cancelled"),1,0))</f>
        <v/>
      </c>
      <c r="T497" s="0" t="str">
        <f aca="false">IF($A497="","",IF($I497="Completed",ROW(),""))</f>
        <v/>
      </c>
      <c r="U497" s="0" t="str">
        <f aca="false">IF($A497="","",IF(OR($I497="Not Started",$I497="Planning",$I497="Blocked"),ROW(),""))</f>
        <v/>
      </c>
    </row>
    <row r="498" customFormat="false" ht="15" hidden="false" customHeight="false" outlineLevel="0" collapsed="false">
      <c r="B498" s="3"/>
      <c r="F498" s="3"/>
      <c r="G498" s="3"/>
      <c r="H498" s="3"/>
      <c r="I498" s="3"/>
      <c r="J498" s="37" t="str">
        <f aca="false">IF($A498="","",IFERROR(INDEX(Lists!$B$2:$B$10,MATCH($I498,Lists!$A$2:$A$10,0)),""))</f>
        <v/>
      </c>
      <c r="N498" s="0" t="str">
        <f aca="false">IF($A498="","",$L498-$K498+1)</f>
        <v/>
      </c>
      <c r="O498" s="39" t="str">
        <f aca="true">IF($A498="","",IF(OR($I498="Completed",$I498="Cancelled"),0,$L498-TODAY()))</f>
        <v/>
      </c>
      <c r="Q498" s="3"/>
      <c r="S498" s="0" t="str">
        <f aca="false">IF($A498="","",IF(AND($O498&lt;0,$I498&lt;&gt;"Completed",$I498&lt;&gt;"Cancelled"),1,0))</f>
        <v/>
      </c>
      <c r="T498" s="0" t="str">
        <f aca="false">IF($A498="","",IF($I498="Completed",ROW(),""))</f>
        <v/>
      </c>
      <c r="U498" s="0" t="str">
        <f aca="false">IF($A498="","",IF(OR($I498="Not Started",$I498="Planning",$I498="Blocked"),ROW(),""))</f>
        <v/>
      </c>
    </row>
    <row r="499" customFormat="false" ht="15" hidden="false" customHeight="false" outlineLevel="0" collapsed="false">
      <c r="B499" s="3"/>
      <c r="F499" s="3"/>
      <c r="G499" s="3"/>
      <c r="H499" s="3"/>
      <c r="I499" s="3"/>
      <c r="J499" s="37" t="str">
        <f aca="false">IF($A499="","",IFERROR(INDEX(Lists!$B$2:$B$10,MATCH($I499,Lists!$A$2:$A$10,0)),""))</f>
        <v/>
      </c>
      <c r="N499" s="0" t="str">
        <f aca="false">IF($A499="","",$L499-$K499+1)</f>
        <v/>
      </c>
      <c r="O499" s="39" t="str">
        <f aca="true">IF($A499="","",IF(OR($I499="Completed",$I499="Cancelled"),0,$L499-TODAY()))</f>
        <v/>
      </c>
      <c r="Q499" s="3"/>
      <c r="S499" s="0" t="str">
        <f aca="false">IF($A499="","",IF(AND($O499&lt;0,$I499&lt;&gt;"Completed",$I499&lt;&gt;"Cancelled"),1,0))</f>
        <v/>
      </c>
      <c r="T499" s="0" t="str">
        <f aca="false">IF($A499="","",IF($I499="Completed",ROW(),""))</f>
        <v/>
      </c>
      <c r="U499" s="0" t="str">
        <f aca="false">IF($A499="","",IF(OR($I499="Not Started",$I499="Planning",$I499="Blocked"),ROW(),""))</f>
        <v/>
      </c>
    </row>
    <row r="500" customFormat="false" ht="15" hidden="false" customHeight="false" outlineLevel="0" collapsed="false">
      <c r="B500" s="3"/>
      <c r="F500" s="3"/>
      <c r="G500" s="3"/>
      <c r="H500" s="3"/>
      <c r="I500" s="3"/>
      <c r="J500" s="37" t="str">
        <f aca="false">IF($A500="","",IFERROR(INDEX(Lists!$B$2:$B$10,MATCH($I500,Lists!$A$2:$A$10,0)),""))</f>
        <v/>
      </c>
      <c r="N500" s="0" t="str">
        <f aca="false">IF($A500="","",$L500-$K500+1)</f>
        <v/>
      </c>
      <c r="O500" s="39" t="str">
        <f aca="true">IF($A500="","",IF(OR($I500="Completed",$I500="Cancelled"),0,$L500-TODAY()))</f>
        <v/>
      </c>
      <c r="Q500" s="3"/>
      <c r="S500" s="0" t="str">
        <f aca="false">IF($A500="","",IF(AND($O500&lt;0,$I500&lt;&gt;"Completed",$I500&lt;&gt;"Cancelled"),1,0))</f>
        <v/>
      </c>
      <c r="T500" s="0" t="str">
        <f aca="false">IF($A500="","",IF($I500="Completed",ROW(),""))</f>
        <v/>
      </c>
      <c r="U500" s="0" t="str">
        <f aca="false">IF($A500="","",IF(OR($I500="Not Started",$I500="Planning",$I500="Blocked"),ROW(),""))</f>
        <v/>
      </c>
    </row>
    <row r="501" customFormat="false" ht="15" hidden="false" customHeight="false" outlineLevel="0" collapsed="false">
      <c r="B501" s="3"/>
      <c r="F501" s="3"/>
      <c r="G501" s="3"/>
      <c r="H501" s="3"/>
      <c r="I501" s="3"/>
      <c r="J501" s="37" t="str">
        <f aca="false">IF($A501="","",IFERROR(INDEX(Lists!$B$2:$B$10,MATCH($I501,Lists!$A$2:$A$10,0)),""))</f>
        <v/>
      </c>
      <c r="N501" s="0" t="str">
        <f aca="false">IF($A501="","",$L501-$K501+1)</f>
        <v/>
      </c>
      <c r="O501" s="39" t="str">
        <f aca="true">IF($A501="","",IF(OR($I501="Completed",$I501="Cancelled"),0,$L501-TODAY()))</f>
        <v/>
      </c>
      <c r="Q501" s="3"/>
      <c r="S501" s="0" t="str">
        <f aca="false">IF($A501="","",IF(AND($O501&lt;0,$I501&lt;&gt;"Completed",$I501&lt;&gt;"Cancelled"),1,0))</f>
        <v/>
      </c>
      <c r="T501" s="0" t="str">
        <f aca="false">IF($A501="","",IF($I501="Completed",ROW(),""))</f>
        <v/>
      </c>
      <c r="U501" s="0" t="str">
        <f aca="false">IF($A501="","",IF(OR($I501="Not Started",$I501="Planning",$I501="Blocked"),ROW(),""))</f>
        <v/>
      </c>
    </row>
    <row r="502" customFormat="false" ht="15" hidden="false" customHeight="false" outlineLevel="0" collapsed="false">
      <c r="B502" s="3"/>
      <c r="F502" s="3"/>
      <c r="G502" s="3"/>
      <c r="H502" s="3"/>
      <c r="I502" s="3"/>
      <c r="J502" s="37" t="str">
        <f aca="false">IF($A502="","",IFERROR(INDEX(Lists!$B$2:$B$10,MATCH($I502,Lists!$A$2:$A$10,0)),""))</f>
        <v/>
      </c>
      <c r="N502" s="0" t="str">
        <f aca="false">IF($A502="","",$L502-$K502+1)</f>
        <v/>
      </c>
      <c r="O502" s="39" t="str">
        <f aca="true">IF($A502="","",IF(OR($I502="Completed",$I502="Cancelled"),0,$L502-TODAY()))</f>
        <v/>
      </c>
      <c r="Q502" s="3"/>
      <c r="S502" s="0" t="str">
        <f aca="false">IF($A502="","",IF(AND($O502&lt;0,$I502&lt;&gt;"Completed",$I502&lt;&gt;"Cancelled"),1,0))</f>
        <v/>
      </c>
      <c r="T502" s="0" t="str">
        <f aca="false">IF($A502="","",IF($I502="Completed",ROW(),""))</f>
        <v/>
      </c>
      <c r="U502" s="0" t="str">
        <f aca="false">IF($A502="","",IF(OR($I502="Not Started",$I502="Planning",$I502="Blocked"),ROW(),""))</f>
        <v/>
      </c>
    </row>
    <row r="503" customFormat="false" ht="15" hidden="false" customHeight="false" outlineLevel="0" collapsed="false">
      <c r="B503" s="3"/>
      <c r="F503" s="3"/>
      <c r="G503" s="3"/>
      <c r="H503" s="3"/>
      <c r="I503" s="3"/>
      <c r="J503" s="37" t="str">
        <f aca="false">IF($A503="","",IFERROR(INDEX(Lists!$B$2:$B$10,MATCH($I503,Lists!$A$2:$A$10,0)),""))</f>
        <v/>
      </c>
      <c r="N503" s="0" t="str">
        <f aca="false">IF($A503="","",$L503-$K503+1)</f>
        <v/>
      </c>
      <c r="O503" s="39" t="str">
        <f aca="true">IF($A503="","",IF(OR($I503="Completed",$I503="Cancelled"),0,$L503-TODAY()))</f>
        <v/>
      </c>
      <c r="Q503" s="3"/>
      <c r="S503" s="0" t="str">
        <f aca="false">IF($A503="","",IF(AND($O503&lt;0,$I503&lt;&gt;"Completed",$I503&lt;&gt;"Cancelled"),1,0))</f>
        <v/>
      </c>
      <c r="T503" s="0" t="str">
        <f aca="false">IF($A503="","",IF($I503="Completed",ROW(),""))</f>
        <v/>
      </c>
      <c r="U503" s="0" t="str">
        <f aca="false">IF($A503="","",IF(OR($I503="Not Started",$I503="Planning",$I503="Blocked"),ROW(),""))</f>
        <v/>
      </c>
    </row>
    <row r="504" customFormat="false" ht="15" hidden="false" customHeight="false" outlineLevel="0" collapsed="false">
      <c r="B504" s="3"/>
      <c r="F504" s="3"/>
      <c r="G504" s="3"/>
      <c r="H504" s="3"/>
      <c r="I504" s="3"/>
      <c r="J504" s="37" t="str">
        <f aca="false">IF($A504="","",IFERROR(INDEX(Lists!$B$2:$B$10,MATCH($I504,Lists!$A$2:$A$10,0)),""))</f>
        <v/>
      </c>
      <c r="N504" s="0" t="str">
        <f aca="false">IF($A504="","",$L504-$K504+1)</f>
        <v/>
      </c>
      <c r="O504" s="39" t="str">
        <f aca="true">IF($A504="","",IF(OR($I504="Completed",$I504="Cancelled"),0,$L504-TODAY()))</f>
        <v/>
      </c>
      <c r="Q504" s="3"/>
      <c r="S504" s="0" t="str">
        <f aca="false">IF($A504="","",IF(AND($O504&lt;0,$I504&lt;&gt;"Completed",$I504&lt;&gt;"Cancelled"),1,0))</f>
        <v/>
      </c>
      <c r="T504" s="0" t="str">
        <f aca="false">IF($A504="","",IF($I504="Completed",ROW(),""))</f>
        <v/>
      </c>
      <c r="U504" s="0" t="str">
        <f aca="false">IF($A504="","",IF(OR($I504="Not Started",$I504="Planning",$I504="Blocked"),ROW(),""))</f>
        <v/>
      </c>
    </row>
    <row r="505" customFormat="false" ht="15" hidden="false" customHeight="false" outlineLevel="0" collapsed="false">
      <c r="B505" s="3"/>
      <c r="F505" s="3"/>
      <c r="G505" s="3"/>
      <c r="H505" s="3"/>
      <c r="I505" s="3"/>
      <c r="J505" s="37" t="str">
        <f aca="false">IF($A505="","",IFERROR(INDEX(Lists!$B$2:$B$10,MATCH($I505,Lists!$A$2:$A$10,0)),""))</f>
        <v/>
      </c>
      <c r="N505" s="0" t="str">
        <f aca="false">IF($A505="","",$L505-$K505+1)</f>
        <v/>
      </c>
      <c r="O505" s="39" t="str">
        <f aca="true">IF($A505="","",IF(OR($I505="Completed",$I505="Cancelled"),0,$L505-TODAY()))</f>
        <v/>
      </c>
      <c r="Q505" s="3"/>
      <c r="S505" s="0" t="str">
        <f aca="false">IF($A505="","",IF(AND($O505&lt;0,$I505&lt;&gt;"Completed",$I505&lt;&gt;"Cancelled"),1,0))</f>
        <v/>
      </c>
      <c r="T505" s="0" t="str">
        <f aca="false">IF($A505="","",IF($I505="Completed",ROW(),""))</f>
        <v/>
      </c>
      <c r="U505" s="0" t="str">
        <f aca="false">IF($A505="","",IF(OR($I505="Not Started",$I505="Planning",$I505="Blocked"),ROW(),""))</f>
        <v/>
      </c>
    </row>
    <row r="506" customFormat="false" ht="15" hidden="false" customHeight="false" outlineLevel="0" collapsed="false">
      <c r="B506" s="3"/>
      <c r="F506" s="3"/>
      <c r="G506" s="3"/>
      <c r="H506" s="3"/>
      <c r="I506" s="3"/>
      <c r="J506" s="37" t="str">
        <f aca="false">IF($A506="","",IFERROR(INDEX(Lists!$B$2:$B$10,MATCH($I506,Lists!$A$2:$A$10,0)),""))</f>
        <v/>
      </c>
      <c r="N506" s="0" t="str">
        <f aca="false">IF($A506="","",$L506-$K506+1)</f>
        <v/>
      </c>
      <c r="O506" s="39" t="str">
        <f aca="true">IF($A506="","",IF(OR($I506="Completed",$I506="Cancelled"),0,$L506-TODAY()))</f>
        <v/>
      </c>
      <c r="Q506" s="3"/>
      <c r="S506" s="0" t="str">
        <f aca="false">IF($A506="","",IF(AND($O506&lt;0,$I506&lt;&gt;"Completed",$I506&lt;&gt;"Cancelled"),1,0))</f>
        <v/>
      </c>
      <c r="T506" s="0" t="str">
        <f aca="false">IF($A506="","",IF($I506="Completed",ROW(),""))</f>
        <v/>
      </c>
      <c r="U506" s="0" t="str">
        <f aca="false">IF($A506="","",IF(OR($I506="Not Started",$I506="Planning",$I506="Blocked"),ROW(),""))</f>
        <v/>
      </c>
    </row>
    <row r="507" customFormat="false" ht="15" hidden="false" customHeight="false" outlineLevel="0" collapsed="false">
      <c r="B507" s="3"/>
      <c r="F507" s="3"/>
      <c r="G507" s="3"/>
      <c r="H507" s="3"/>
      <c r="I507" s="3"/>
      <c r="J507" s="37" t="str">
        <f aca="false">IF($A507="","",IFERROR(INDEX(Lists!$B$2:$B$10,MATCH($I507,Lists!$A$2:$A$10,0)),""))</f>
        <v/>
      </c>
      <c r="N507" s="0" t="str">
        <f aca="false">IF($A507="","",$L507-$K507+1)</f>
        <v/>
      </c>
      <c r="O507" s="39" t="str">
        <f aca="true">IF($A507="","",IF(OR($I507="Completed",$I507="Cancelled"),0,$L507-TODAY()))</f>
        <v/>
      </c>
      <c r="Q507" s="3"/>
      <c r="S507" s="0" t="str">
        <f aca="false">IF($A507="","",IF(AND($O507&lt;0,$I507&lt;&gt;"Completed",$I507&lt;&gt;"Cancelled"),1,0))</f>
        <v/>
      </c>
      <c r="T507" s="0" t="str">
        <f aca="false">IF($A507="","",IF($I507="Completed",ROW(),""))</f>
        <v/>
      </c>
      <c r="U507" s="0" t="str">
        <f aca="false">IF($A507="","",IF(OR($I507="Not Started",$I507="Planning",$I507="Blocked"),ROW(),""))</f>
        <v/>
      </c>
    </row>
    <row r="508" customFormat="false" ht="15" hidden="false" customHeight="false" outlineLevel="0" collapsed="false">
      <c r="B508" s="3"/>
      <c r="F508" s="3"/>
      <c r="G508" s="3"/>
      <c r="H508" s="3"/>
      <c r="I508" s="3"/>
      <c r="J508" s="37" t="str">
        <f aca="false">IF($A508="","",IFERROR(INDEX(Lists!$B$2:$B$10,MATCH($I508,Lists!$A$2:$A$10,0)),""))</f>
        <v/>
      </c>
      <c r="N508" s="0" t="str">
        <f aca="false">IF($A508="","",$L508-$K508+1)</f>
        <v/>
      </c>
      <c r="O508" s="39" t="str">
        <f aca="true">IF($A508="","",IF(OR($I508="Completed",$I508="Cancelled"),0,$L508-TODAY()))</f>
        <v/>
      </c>
      <c r="Q508" s="3"/>
      <c r="S508" s="0" t="str">
        <f aca="false">IF($A508="","",IF(AND($O508&lt;0,$I508&lt;&gt;"Completed",$I508&lt;&gt;"Cancelled"),1,0))</f>
        <v/>
      </c>
      <c r="T508" s="0" t="str">
        <f aca="false">IF($A508="","",IF($I508="Completed",ROW(),""))</f>
        <v/>
      </c>
      <c r="U508" s="0" t="str">
        <f aca="false">IF($A508="","",IF(OR($I508="Not Started",$I508="Planning",$I508="Blocked"),ROW(),""))</f>
        <v/>
      </c>
    </row>
    <row r="509" customFormat="false" ht="15" hidden="false" customHeight="false" outlineLevel="0" collapsed="false">
      <c r="B509" s="3"/>
      <c r="F509" s="3"/>
      <c r="G509" s="3"/>
      <c r="H509" s="3"/>
      <c r="I509" s="3"/>
      <c r="J509" s="37" t="str">
        <f aca="false">IF($A509="","",IFERROR(INDEX(Lists!$B$2:$B$10,MATCH($I509,Lists!$A$2:$A$10,0)),""))</f>
        <v/>
      </c>
      <c r="N509" s="0" t="str">
        <f aca="false">IF($A509="","",$L509-$K509+1)</f>
        <v/>
      </c>
      <c r="O509" s="39" t="str">
        <f aca="true">IF($A509="","",IF(OR($I509="Completed",$I509="Cancelled"),0,$L509-TODAY()))</f>
        <v/>
      </c>
      <c r="Q509" s="3"/>
      <c r="S509" s="0" t="str">
        <f aca="false">IF($A509="","",IF(AND($O509&lt;0,$I509&lt;&gt;"Completed",$I509&lt;&gt;"Cancelled"),1,0))</f>
        <v/>
      </c>
      <c r="T509" s="0" t="str">
        <f aca="false">IF($A509="","",IF($I509="Completed",ROW(),""))</f>
        <v/>
      </c>
      <c r="U509" s="0" t="str">
        <f aca="false">IF($A509="","",IF(OR($I509="Not Started",$I509="Planning",$I509="Blocked"),ROW(),""))</f>
        <v/>
      </c>
    </row>
    <row r="510" customFormat="false" ht="15" hidden="false" customHeight="false" outlineLevel="0" collapsed="false">
      <c r="B510" s="3"/>
      <c r="F510" s="3"/>
      <c r="G510" s="3"/>
      <c r="H510" s="3"/>
      <c r="I510" s="3"/>
      <c r="J510" s="37" t="str">
        <f aca="false">IF($A510="","",IFERROR(INDEX(Lists!$B$2:$B$10,MATCH($I510,Lists!$A$2:$A$10,0)),""))</f>
        <v/>
      </c>
      <c r="N510" s="0" t="str">
        <f aca="false">IF($A510="","",$L510-$K510+1)</f>
        <v/>
      </c>
      <c r="O510" s="39" t="str">
        <f aca="true">IF($A510="","",IF(OR($I510="Completed",$I510="Cancelled"),0,$L510-TODAY()))</f>
        <v/>
      </c>
      <c r="Q510" s="3"/>
      <c r="S510" s="0" t="str">
        <f aca="false">IF($A510="","",IF(AND($O510&lt;0,$I510&lt;&gt;"Completed",$I510&lt;&gt;"Cancelled"),1,0))</f>
        <v/>
      </c>
      <c r="T510" s="0" t="str">
        <f aca="false">IF($A510="","",IF($I510="Completed",ROW(),""))</f>
        <v/>
      </c>
      <c r="U510" s="0" t="str">
        <f aca="false">IF($A510="","",IF(OR($I510="Not Started",$I510="Planning",$I510="Blocked"),ROW(),""))</f>
        <v/>
      </c>
    </row>
    <row r="511" customFormat="false" ht="15" hidden="false" customHeight="false" outlineLevel="0" collapsed="false">
      <c r="B511" s="3"/>
      <c r="F511" s="3"/>
      <c r="G511" s="3"/>
      <c r="H511" s="3"/>
      <c r="I511" s="3"/>
      <c r="J511" s="37" t="str">
        <f aca="false">IF($A511="","",IFERROR(INDEX(Lists!$B$2:$B$10,MATCH($I511,Lists!$A$2:$A$10,0)),""))</f>
        <v/>
      </c>
      <c r="N511" s="0" t="str">
        <f aca="false">IF($A511="","",$L511-$K511+1)</f>
        <v/>
      </c>
      <c r="O511" s="39" t="str">
        <f aca="true">IF($A511="","",IF(OR($I511="Completed",$I511="Cancelled"),0,$L511-TODAY()))</f>
        <v/>
      </c>
      <c r="Q511" s="3"/>
      <c r="S511" s="0" t="str">
        <f aca="false">IF($A511="","",IF(AND($O511&lt;0,$I511&lt;&gt;"Completed",$I511&lt;&gt;"Cancelled"),1,0))</f>
        <v/>
      </c>
      <c r="T511" s="0" t="str">
        <f aca="false">IF($A511="","",IF($I511="Completed",ROW(),""))</f>
        <v/>
      </c>
      <c r="U511" s="0" t="str">
        <f aca="false">IF($A511="","",IF(OR($I511="Not Started",$I511="Planning",$I511="Blocked"),ROW(),""))</f>
        <v/>
      </c>
    </row>
    <row r="512" customFormat="false" ht="15" hidden="false" customHeight="false" outlineLevel="0" collapsed="false">
      <c r="B512" s="3"/>
      <c r="F512" s="3"/>
      <c r="G512" s="3"/>
      <c r="H512" s="3"/>
      <c r="I512" s="3"/>
      <c r="J512" s="37" t="str">
        <f aca="false">IF($A512="","",IFERROR(INDEX(Lists!$B$2:$B$10,MATCH($I512,Lists!$A$2:$A$10,0)),""))</f>
        <v/>
      </c>
      <c r="N512" s="0" t="str">
        <f aca="false">IF($A512="","",$L512-$K512+1)</f>
        <v/>
      </c>
      <c r="O512" s="39" t="str">
        <f aca="true">IF($A512="","",IF(OR($I512="Completed",$I512="Cancelled"),0,$L512-TODAY()))</f>
        <v/>
      </c>
      <c r="Q512" s="3"/>
      <c r="S512" s="0" t="str">
        <f aca="false">IF($A512="","",IF(AND($O512&lt;0,$I512&lt;&gt;"Completed",$I512&lt;&gt;"Cancelled"),1,0))</f>
        <v/>
      </c>
      <c r="T512" s="0" t="str">
        <f aca="false">IF($A512="","",IF($I512="Completed",ROW(),""))</f>
        <v/>
      </c>
      <c r="U512" s="0" t="str">
        <f aca="false">IF($A512="","",IF(OR($I512="Not Started",$I512="Planning",$I512="Blocked"),ROW(),""))</f>
        <v/>
      </c>
    </row>
    <row r="513" customFormat="false" ht="15" hidden="false" customHeight="false" outlineLevel="0" collapsed="false">
      <c r="B513" s="3"/>
      <c r="F513" s="3"/>
      <c r="G513" s="3"/>
      <c r="H513" s="3"/>
      <c r="I513" s="3"/>
      <c r="J513" s="37" t="str">
        <f aca="false">IF($A513="","",IFERROR(INDEX(Lists!$B$2:$B$10,MATCH($I513,Lists!$A$2:$A$10,0)),""))</f>
        <v/>
      </c>
      <c r="N513" s="0" t="str">
        <f aca="false">IF($A513="","",$L513-$K513+1)</f>
        <v/>
      </c>
      <c r="O513" s="39" t="str">
        <f aca="true">IF($A513="","",IF(OR($I513="Completed",$I513="Cancelled"),0,$L513-TODAY()))</f>
        <v/>
      </c>
      <c r="Q513" s="3"/>
      <c r="S513" s="0" t="str">
        <f aca="false">IF($A513="","",IF(AND($O513&lt;0,$I513&lt;&gt;"Completed",$I513&lt;&gt;"Cancelled"),1,0))</f>
        <v/>
      </c>
      <c r="T513" s="0" t="str">
        <f aca="false">IF($A513="","",IF($I513="Completed",ROW(),""))</f>
        <v/>
      </c>
      <c r="U513" s="0" t="str">
        <f aca="false">IF($A513="","",IF(OR($I513="Not Started",$I513="Planning",$I513="Blocked"),ROW(),""))</f>
        <v/>
      </c>
    </row>
    <row r="514" customFormat="false" ht="15" hidden="false" customHeight="false" outlineLevel="0" collapsed="false">
      <c r="B514" s="3"/>
      <c r="F514" s="3"/>
      <c r="G514" s="3"/>
      <c r="H514" s="3"/>
      <c r="I514" s="3"/>
      <c r="J514" s="37" t="str">
        <f aca="false">IF($A514="","",IFERROR(INDEX(Lists!$B$2:$B$10,MATCH($I514,Lists!$A$2:$A$10,0)),""))</f>
        <v/>
      </c>
      <c r="N514" s="0" t="str">
        <f aca="false">IF($A514="","",$L514-$K514+1)</f>
        <v/>
      </c>
      <c r="O514" s="39" t="str">
        <f aca="true">IF($A514="","",IF(OR($I514="Completed",$I514="Cancelled"),0,$L514-TODAY()))</f>
        <v/>
      </c>
      <c r="Q514" s="3"/>
      <c r="S514" s="0" t="str">
        <f aca="false">IF($A514="","",IF(AND($O514&lt;0,$I514&lt;&gt;"Completed",$I514&lt;&gt;"Cancelled"),1,0))</f>
        <v/>
      </c>
      <c r="T514" s="0" t="str">
        <f aca="false">IF($A514="","",IF($I514="Completed",ROW(),""))</f>
        <v/>
      </c>
      <c r="U514" s="0" t="str">
        <f aca="false">IF($A514="","",IF(OR($I514="Not Started",$I514="Planning",$I514="Blocked"),ROW(),""))</f>
        <v/>
      </c>
    </row>
    <row r="515" customFormat="false" ht="15" hidden="false" customHeight="false" outlineLevel="0" collapsed="false">
      <c r="B515" s="3"/>
      <c r="F515" s="3"/>
      <c r="G515" s="3"/>
      <c r="H515" s="3"/>
      <c r="I515" s="3"/>
      <c r="J515" s="37" t="str">
        <f aca="false">IF($A515="","",IFERROR(INDEX(Lists!$B$2:$B$10,MATCH($I515,Lists!$A$2:$A$10,0)),""))</f>
        <v/>
      </c>
      <c r="N515" s="0" t="str">
        <f aca="false">IF($A515="","",$L515-$K515+1)</f>
        <v/>
      </c>
      <c r="O515" s="39" t="str">
        <f aca="true">IF($A515="","",IF(OR($I515="Completed",$I515="Cancelled"),0,$L515-TODAY()))</f>
        <v/>
      </c>
      <c r="Q515" s="3"/>
      <c r="S515" s="0" t="str">
        <f aca="false">IF($A515="","",IF(AND($O515&lt;0,$I515&lt;&gt;"Completed",$I515&lt;&gt;"Cancelled"),1,0))</f>
        <v/>
      </c>
      <c r="T515" s="0" t="str">
        <f aca="false">IF($A515="","",IF($I515="Completed",ROW(),""))</f>
        <v/>
      </c>
      <c r="U515" s="0" t="str">
        <f aca="false">IF($A515="","",IF(OR($I515="Not Started",$I515="Planning",$I515="Blocked"),ROW(),""))</f>
        <v/>
      </c>
    </row>
    <row r="516" customFormat="false" ht="15" hidden="false" customHeight="false" outlineLevel="0" collapsed="false">
      <c r="B516" s="3"/>
      <c r="F516" s="3"/>
      <c r="G516" s="3"/>
      <c r="H516" s="3"/>
      <c r="I516" s="3"/>
      <c r="J516" s="37" t="str">
        <f aca="false">IF($A516="","",IFERROR(INDEX(Lists!$B$2:$B$10,MATCH($I516,Lists!$A$2:$A$10,0)),""))</f>
        <v/>
      </c>
      <c r="N516" s="0" t="str">
        <f aca="false">IF($A516="","",$L516-$K516+1)</f>
        <v/>
      </c>
      <c r="O516" s="39" t="str">
        <f aca="true">IF($A516="","",IF(OR($I516="Completed",$I516="Cancelled"),0,$L516-TODAY()))</f>
        <v/>
      </c>
      <c r="Q516" s="3"/>
      <c r="S516" s="0" t="str">
        <f aca="false">IF($A516="","",IF(AND($O516&lt;0,$I516&lt;&gt;"Completed",$I516&lt;&gt;"Cancelled"),1,0))</f>
        <v/>
      </c>
      <c r="T516" s="0" t="str">
        <f aca="false">IF($A516="","",IF($I516="Completed",ROW(),""))</f>
        <v/>
      </c>
      <c r="U516" s="0" t="str">
        <f aca="false">IF($A516="","",IF(OR($I516="Not Started",$I516="Planning",$I516="Blocked"),ROW(),""))</f>
        <v/>
      </c>
    </row>
    <row r="517" customFormat="false" ht="15" hidden="false" customHeight="false" outlineLevel="0" collapsed="false">
      <c r="B517" s="3"/>
      <c r="F517" s="3"/>
      <c r="G517" s="3"/>
      <c r="H517" s="3"/>
      <c r="I517" s="3"/>
      <c r="J517" s="37" t="str">
        <f aca="false">IF($A517="","",IFERROR(INDEX(Lists!$B$2:$B$10,MATCH($I517,Lists!$A$2:$A$10,0)),""))</f>
        <v/>
      </c>
      <c r="N517" s="0" t="str">
        <f aca="false">IF($A517="","",$L517-$K517+1)</f>
        <v/>
      </c>
      <c r="O517" s="39" t="str">
        <f aca="true">IF($A517="","",IF(OR($I517="Completed",$I517="Cancelled"),0,$L517-TODAY()))</f>
        <v/>
      </c>
      <c r="Q517" s="3"/>
      <c r="S517" s="0" t="str">
        <f aca="false">IF($A517="","",IF(AND($O517&lt;0,$I517&lt;&gt;"Completed",$I517&lt;&gt;"Cancelled"),1,0))</f>
        <v/>
      </c>
      <c r="T517" s="0" t="str">
        <f aca="false">IF($A517="","",IF($I517="Completed",ROW(),""))</f>
        <v/>
      </c>
      <c r="U517" s="0" t="str">
        <f aca="false">IF($A517="","",IF(OR($I517="Not Started",$I517="Planning",$I517="Blocked"),ROW(),""))</f>
        <v/>
      </c>
    </row>
    <row r="518" customFormat="false" ht="15" hidden="false" customHeight="false" outlineLevel="0" collapsed="false">
      <c r="B518" s="3"/>
      <c r="F518" s="3"/>
      <c r="G518" s="3"/>
      <c r="H518" s="3"/>
      <c r="I518" s="3"/>
      <c r="J518" s="37" t="str">
        <f aca="false">IF($A518="","",IFERROR(INDEX(Lists!$B$2:$B$10,MATCH($I518,Lists!$A$2:$A$10,0)),""))</f>
        <v/>
      </c>
      <c r="N518" s="0" t="str">
        <f aca="false">IF($A518="","",$L518-$K518+1)</f>
        <v/>
      </c>
      <c r="O518" s="39" t="str">
        <f aca="true">IF($A518="","",IF(OR($I518="Completed",$I518="Cancelled"),0,$L518-TODAY()))</f>
        <v/>
      </c>
      <c r="Q518" s="3"/>
      <c r="S518" s="0" t="str">
        <f aca="false">IF($A518="","",IF(AND($O518&lt;0,$I518&lt;&gt;"Completed",$I518&lt;&gt;"Cancelled"),1,0))</f>
        <v/>
      </c>
      <c r="T518" s="0" t="str">
        <f aca="false">IF($A518="","",IF($I518="Completed",ROW(),""))</f>
        <v/>
      </c>
      <c r="U518" s="0" t="str">
        <f aca="false">IF($A518="","",IF(OR($I518="Not Started",$I518="Planning",$I518="Blocked"),ROW(),""))</f>
        <v/>
      </c>
    </row>
    <row r="519" customFormat="false" ht="15" hidden="false" customHeight="false" outlineLevel="0" collapsed="false">
      <c r="B519" s="3"/>
      <c r="F519" s="3"/>
      <c r="G519" s="3"/>
      <c r="H519" s="3"/>
      <c r="I519" s="3"/>
      <c r="J519" s="37" t="str">
        <f aca="false">IF($A519="","",IFERROR(INDEX(Lists!$B$2:$B$10,MATCH($I519,Lists!$A$2:$A$10,0)),""))</f>
        <v/>
      </c>
      <c r="N519" s="0" t="str">
        <f aca="false">IF($A519="","",$L519-$K519+1)</f>
        <v/>
      </c>
      <c r="O519" s="39" t="str">
        <f aca="true">IF($A519="","",IF(OR($I519="Completed",$I519="Cancelled"),0,$L519-TODAY()))</f>
        <v/>
      </c>
      <c r="Q519" s="3"/>
      <c r="S519" s="0" t="str">
        <f aca="false">IF($A519="","",IF(AND($O519&lt;0,$I519&lt;&gt;"Completed",$I519&lt;&gt;"Cancelled"),1,0))</f>
        <v/>
      </c>
      <c r="T519" s="0" t="str">
        <f aca="false">IF($A519="","",IF($I519="Completed",ROW(),""))</f>
        <v/>
      </c>
      <c r="U519" s="0" t="str">
        <f aca="false">IF($A519="","",IF(OR($I519="Not Started",$I519="Planning",$I519="Blocked"),ROW(),""))</f>
        <v/>
      </c>
    </row>
    <row r="520" customFormat="false" ht="15" hidden="false" customHeight="false" outlineLevel="0" collapsed="false">
      <c r="B520" s="3"/>
      <c r="F520" s="3"/>
      <c r="G520" s="3"/>
      <c r="H520" s="3"/>
      <c r="I520" s="3"/>
      <c r="J520" s="37" t="str">
        <f aca="false">IF($A520="","",IFERROR(INDEX(Lists!$B$2:$B$10,MATCH($I520,Lists!$A$2:$A$10,0)),""))</f>
        <v/>
      </c>
      <c r="N520" s="0" t="str">
        <f aca="false">IF($A520="","",$L520-$K520+1)</f>
        <v/>
      </c>
      <c r="O520" s="39" t="str">
        <f aca="true">IF($A520="","",IF(OR($I520="Completed",$I520="Cancelled"),0,$L520-TODAY()))</f>
        <v/>
      </c>
      <c r="Q520" s="3"/>
      <c r="S520" s="0" t="str">
        <f aca="false">IF($A520="","",IF(AND($O520&lt;0,$I520&lt;&gt;"Completed",$I520&lt;&gt;"Cancelled"),1,0))</f>
        <v/>
      </c>
      <c r="T520" s="0" t="str">
        <f aca="false">IF($A520="","",IF($I520="Completed",ROW(),""))</f>
        <v/>
      </c>
      <c r="U520" s="0" t="str">
        <f aca="false">IF($A520="","",IF(OR($I520="Not Started",$I520="Planning",$I520="Blocked"),ROW(),""))</f>
        <v/>
      </c>
    </row>
    <row r="521" customFormat="false" ht="15" hidden="false" customHeight="false" outlineLevel="0" collapsed="false">
      <c r="B521" s="3"/>
      <c r="F521" s="3"/>
      <c r="G521" s="3"/>
      <c r="H521" s="3"/>
      <c r="I521" s="3"/>
      <c r="J521" s="37" t="str">
        <f aca="false">IF($A521="","",IFERROR(INDEX(Lists!$B$2:$B$10,MATCH($I521,Lists!$A$2:$A$10,0)),""))</f>
        <v/>
      </c>
      <c r="N521" s="0" t="str">
        <f aca="false">IF($A521="","",$L521-$K521+1)</f>
        <v/>
      </c>
      <c r="O521" s="39" t="str">
        <f aca="true">IF($A521="","",IF(OR($I521="Completed",$I521="Cancelled"),0,$L521-TODAY()))</f>
        <v/>
      </c>
      <c r="Q521" s="3"/>
      <c r="S521" s="0" t="str">
        <f aca="false">IF($A521="","",IF(AND($O521&lt;0,$I521&lt;&gt;"Completed",$I521&lt;&gt;"Cancelled"),1,0))</f>
        <v/>
      </c>
      <c r="T521" s="0" t="str">
        <f aca="false">IF($A521="","",IF($I521="Completed",ROW(),""))</f>
        <v/>
      </c>
      <c r="U521" s="0" t="str">
        <f aca="false">IF($A521="","",IF(OR($I521="Not Started",$I521="Planning",$I521="Blocked"),ROW(),""))</f>
        <v/>
      </c>
    </row>
    <row r="522" customFormat="false" ht="15" hidden="false" customHeight="false" outlineLevel="0" collapsed="false">
      <c r="B522" s="3"/>
      <c r="F522" s="3"/>
      <c r="G522" s="3"/>
      <c r="H522" s="3"/>
      <c r="I522" s="3"/>
      <c r="J522" s="37" t="str">
        <f aca="false">IF($A522="","",IFERROR(INDEX(Lists!$B$2:$B$10,MATCH($I522,Lists!$A$2:$A$10,0)),""))</f>
        <v/>
      </c>
      <c r="N522" s="0" t="str">
        <f aca="false">IF($A522="","",$L522-$K522+1)</f>
        <v/>
      </c>
      <c r="O522" s="39" t="str">
        <f aca="true">IF($A522="","",IF(OR($I522="Completed",$I522="Cancelled"),0,$L522-TODAY()))</f>
        <v/>
      </c>
      <c r="Q522" s="3"/>
      <c r="S522" s="0" t="str">
        <f aca="false">IF($A522="","",IF(AND($O522&lt;0,$I522&lt;&gt;"Completed",$I522&lt;&gt;"Cancelled"),1,0))</f>
        <v/>
      </c>
      <c r="T522" s="0" t="str">
        <f aca="false">IF($A522="","",IF($I522="Completed",ROW(),""))</f>
        <v/>
      </c>
      <c r="U522" s="0" t="str">
        <f aca="false">IF($A522="","",IF(OR($I522="Not Started",$I522="Planning",$I522="Blocked"),ROW(),""))</f>
        <v/>
      </c>
    </row>
    <row r="523" customFormat="false" ht="15" hidden="false" customHeight="false" outlineLevel="0" collapsed="false">
      <c r="B523" s="3"/>
      <c r="F523" s="3"/>
      <c r="G523" s="3"/>
      <c r="H523" s="3"/>
      <c r="I523" s="3"/>
      <c r="J523" s="37" t="str">
        <f aca="false">IF($A523="","",IFERROR(INDEX(Lists!$B$2:$B$10,MATCH($I523,Lists!$A$2:$A$10,0)),""))</f>
        <v/>
      </c>
      <c r="N523" s="0" t="str">
        <f aca="false">IF($A523="","",$L523-$K523+1)</f>
        <v/>
      </c>
      <c r="O523" s="39" t="str">
        <f aca="true">IF($A523="","",IF(OR($I523="Completed",$I523="Cancelled"),0,$L523-TODAY()))</f>
        <v/>
      </c>
      <c r="Q523" s="3"/>
      <c r="S523" s="0" t="str">
        <f aca="false">IF($A523="","",IF(AND($O523&lt;0,$I523&lt;&gt;"Completed",$I523&lt;&gt;"Cancelled"),1,0))</f>
        <v/>
      </c>
      <c r="T523" s="0" t="str">
        <f aca="false">IF($A523="","",IF($I523="Completed",ROW(),""))</f>
        <v/>
      </c>
      <c r="U523" s="0" t="str">
        <f aca="false">IF($A523="","",IF(OR($I523="Not Started",$I523="Planning",$I523="Blocked"),ROW(),""))</f>
        <v/>
      </c>
    </row>
    <row r="524" customFormat="false" ht="15" hidden="false" customHeight="false" outlineLevel="0" collapsed="false">
      <c r="B524" s="3"/>
      <c r="F524" s="3"/>
      <c r="G524" s="3"/>
      <c r="H524" s="3"/>
      <c r="I524" s="3"/>
      <c r="J524" s="37" t="str">
        <f aca="false">IF($A524="","",IFERROR(INDEX(Lists!$B$2:$B$10,MATCH($I524,Lists!$A$2:$A$10,0)),""))</f>
        <v/>
      </c>
      <c r="N524" s="0" t="str">
        <f aca="false">IF($A524="","",$L524-$K524+1)</f>
        <v/>
      </c>
      <c r="O524" s="39" t="str">
        <f aca="true">IF($A524="","",IF(OR($I524="Completed",$I524="Cancelled"),0,$L524-TODAY()))</f>
        <v/>
      </c>
      <c r="Q524" s="3"/>
      <c r="S524" s="0" t="str">
        <f aca="false">IF($A524="","",IF(AND($O524&lt;0,$I524&lt;&gt;"Completed",$I524&lt;&gt;"Cancelled"),1,0))</f>
        <v/>
      </c>
      <c r="T524" s="0" t="str">
        <f aca="false">IF($A524="","",IF($I524="Completed",ROW(),""))</f>
        <v/>
      </c>
      <c r="U524" s="0" t="str">
        <f aca="false">IF($A524="","",IF(OR($I524="Not Started",$I524="Planning",$I524="Blocked"),ROW(),""))</f>
        <v/>
      </c>
    </row>
    <row r="525" customFormat="false" ht="15" hidden="false" customHeight="false" outlineLevel="0" collapsed="false">
      <c r="B525" s="3"/>
      <c r="F525" s="3"/>
      <c r="G525" s="3"/>
      <c r="H525" s="3"/>
      <c r="I525" s="3"/>
      <c r="J525" s="37" t="str">
        <f aca="false">IF($A525="","",IFERROR(INDEX(Lists!$B$2:$B$10,MATCH($I525,Lists!$A$2:$A$10,0)),""))</f>
        <v/>
      </c>
      <c r="N525" s="0" t="str">
        <f aca="false">IF($A525="","",$L525-$K525+1)</f>
        <v/>
      </c>
      <c r="O525" s="39" t="str">
        <f aca="true">IF($A525="","",IF(OR($I525="Completed",$I525="Cancelled"),0,$L525-TODAY()))</f>
        <v/>
      </c>
      <c r="Q525" s="3"/>
      <c r="S525" s="0" t="str">
        <f aca="false">IF($A525="","",IF(AND($O525&lt;0,$I525&lt;&gt;"Completed",$I525&lt;&gt;"Cancelled"),1,0))</f>
        <v/>
      </c>
      <c r="T525" s="0" t="str">
        <f aca="false">IF($A525="","",IF($I525="Completed",ROW(),""))</f>
        <v/>
      </c>
      <c r="U525" s="0" t="str">
        <f aca="false">IF($A525="","",IF(OR($I525="Not Started",$I525="Planning",$I525="Blocked"),ROW(),""))</f>
        <v/>
      </c>
    </row>
    <row r="526" customFormat="false" ht="15" hidden="false" customHeight="false" outlineLevel="0" collapsed="false">
      <c r="B526" s="3"/>
      <c r="F526" s="3"/>
      <c r="G526" s="3"/>
      <c r="H526" s="3"/>
      <c r="I526" s="3"/>
      <c r="J526" s="37" t="str">
        <f aca="false">IF($A526="","",IFERROR(INDEX(Lists!$B$2:$B$10,MATCH($I526,Lists!$A$2:$A$10,0)),""))</f>
        <v/>
      </c>
      <c r="N526" s="0" t="str">
        <f aca="false">IF($A526="","",$L526-$K526+1)</f>
        <v/>
      </c>
      <c r="O526" s="39" t="str">
        <f aca="true">IF($A526="","",IF(OR($I526="Completed",$I526="Cancelled"),0,$L526-TODAY()))</f>
        <v/>
      </c>
      <c r="Q526" s="3"/>
      <c r="S526" s="0" t="str">
        <f aca="false">IF($A526="","",IF(AND($O526&lt;0,$I526&lt;&gt;"Completed",$I526&lt;&gt;"Cancelled"),1,0))</f>
        <v/>
      </c>
      <c r="T526" s="0" t="str">
        <f aca="false">IF($A526="","",IF($I526="Completed",ROW(),""))</f>
        <v/>
      </c>
      <c r="U526" s="0" t="str">
        <f aca="false">IF($A526="","",IF(OR($I526="Not Started",$I526="Planning",$I526="Blocked"),ROW(),""))</f>
        <v/>
      </c>
    </row>
    <row r="527" customFormat="false" ht="15" hidden="false" customHeight="false" outlineLevel="0" collapsed="false">
      <c r="B527" s="3"/>
      <c r="F527" s="3"/>
      <c r="G527" s="3"/>
      <c r="H527" s="3"/>
      <c r="I527" s="3"/>
      <c r="J527" s="37" t="str">
        <f aca="false">IF($A527="","",IFERROR(INDEX(Lists!$B$2:$B$10,MATCH($I527,Lists!$A$2:$A$10,0)),""))</f>
        <v/>
      </c>
      <c r="N527" s="0" t="str">
        <f aca="false">IF($A527="","",$L527-$K527+1)</f>
        <v/>
      </c>
      <c r="O527" s="39" t="str">
        <f aca="true">IF($A527="","",IF(OR($I527="Completed",$I527="Cancelled"),0,$L527-TODAY()))</f>
        <v/>
      </c>
      <c r="Q527" s="3"/>
      <c r="S527" s="0" t="str">
        <f aca="false">IF($A527="","",IF(AND($O527&lt;0,$I527&lt;&gt;"Completed",$I527&lt;&gt;"Cancelled"),1,0))</f>
        <v/>
      </c>
      <c r="T527" s="0" t="str">
        <f aca="false">IF($A527="","",IF($I527="Completed",ROW(),""))</f>
        <v/>
      </c>
      <c r="U527" s="0" t="str">
        <f aca="false">IF($A527="","",IF(OR($I527="Not Started",$I527="Planning",$I527="Blocked"),ROW(),""))</f>
        <v/>
      </c>
    </row>
    <row r="528" customFormat="false" ht="15" hidden="false" customHeight="false" outlineLevel="0" collapsed="false">
      <c r="B528" s="3"/>
      <c r="F528" s="3"/>
      <c r="G528" s="3"/>
      <c r="H528" s="3"/>
      <c r="I528" s="3"/>
      <c r="J528" s="37" t="str">
        <f aca="false">IF($A528="","",IFERROR(INDEX(Lists!$B$2:$B$10,MATCH($I528,Lists!$A$2:$A$10,0)),""))</f>
        <v/>
      </c>
      <c r="N528" s="0" t="str">
        <f aca="false">IF($A528="","",$L528-$K528+1)</f>
        <v/>
      </c>
      <c r="O528" s="39" t="str">
        <f aca="true">IF($A528="","",IF(OR($I528="Completed",$I528="Cancelled"),0,$L528-TODAY()))</f>
        <v/>
      </c>
      <c r="Q528" s="3"/>
      <c r="S528" s="0" t="str">
        <f aca="false">IF($A528="","",IF(AND($O528&lt;0,$I528&lt;&gt;"Completed",$I528&lt;&gt;"Cancelled"),1,0))</f>
        <v/>
      </c>
      <c r="T528" s="0" t="str">
        <f aca="false">IF($A528="","",IF($I528="Completed",ROW(),""))</f>
        <v/>
      </c>
      <c r="U528" s="0" t="str">
        <f aca="false">IF($A528="","",IF(OR($I528="Not Started",$I528="Planning",$I528="Blocked"),ROW(),""))</f>
        <v/>
      </c>
    </row>
    <row r="529" customFormat="false" ht="15" hidden="false" customHeight="false" outlineLevel="0" collapsed="false">
      <c r="B529" s="3"/>
      <c r="F529" s="3"/>
      <c r="G529" s="3"/>
      <c r="H529" s="3"/>
      <c r="I529" s="3"/>
      <c r="J529" s="37" t="str">
        <f aca="false">IF($A529="","",IFERROR(INDEX(Lists!$B$2:$B$10,MATCH($I529,Lists!$A$2:$A$10,0)),""))</f>
        <v/>
      </c>
      <c r="N529" s="0" t="str">
        <f aca="false">IF($A529="","",$L529-$K529+1)</f>
        <v/>
      </c>
      <c r="O529" s="39" t="str">
        <f aca="true">IF($A529="","",IF(OR($I529="Completed",$I529="Cancelled"),0,$L529-TODAY()))</f>
        <v/>
      </c>
      <c r="Q529" s="3"/>
      <c r="S529" s="0" t="str">
        <f aca="false">IF($A529="","",IF(AND($O529&lt;0,$I529&lt;&gt;"Completed",$I529&lt;&gt;"Cancelled"),1,0))</f>
        <v/>
      </c>
      <c r="T529" s="0" t="str">
        <f aca="false">IF($A529="","",IF($I529="Completed",ROW(),""))</f>
        <v/>
      </c>
      <c r="U529" s="0" t="str">
        <f aca="false">IF($A529="","",IF(OR($I529="Not Started",$I529="Planning",$I529="Blocked"),ROW(),""))</f>
        <v/>
      </c>
    </row>
    <row r="530" customFormat="false" ht="15" hidden="false" customHeight="false" outlineLevel="0" collapsed="false">
      <c r="B530" s="3"/>
      <c r="F530" s="3"/>
      <c r="G530" s="3"/>
      <c r="H530" s="3"/>
      <c r="I530" s="3"/>
      <c r="J530" s="37" t="str">
        <f aca="false">IF($A530="","",IFERROR(INDEX(Lists!$B$2:$B$10,MATCH($I530,Lists!$A$2:$A$10,0)),""))</f>
        <v/>
      </c>
      <c r="N530" s="0" t="str">
        <f aca="false">IF($A530="","",$L530-$K530+1)</f>
        <v/>
      </c>
      <c r="O530" s="39" t="str">
        <f aca="true">IF($A530="","",IF(OR($I530="Completed",$I530="Cancelled"),0,$L530-TODAY()))</f>
        <v/>
      </c>
      <c r="Q530" s="3"/>
      <c r="S530" s="0" t="str">
        <f aca="false">IF($A530="","",IF(AND($O530&lt;0,$I530&lt;&gt;"Completed",$I530&lt;&gt;"Cancelled"),1,0))</f>
        <v/>
      </c>
      <c r="T530" s="0" t="str">
        <f aca="false">IF($A530="","",IF($I530="Completed",ROW(),""))</f>
        <v/>
      </c>
      <c r="U530" s="0" t="str">
        <f aca="false">IF($A530="","",IF(OR($I530="Not Started",$I530="Planning",$I530="Blocked"),ROW(),""))</f>
        <v/>
      </c>
    </row>
    <row r="531" customFormat="false" ht="15" hidden="false" customHeight="false" outlineLevel="0" collapsed="false">
      <c r="B531" s="3"/>
      <c r="F531" s="3"/>
      <c r="G531" s="3"/>
      <c r="H531" s="3"/>
      <c r="I531" s="3"/>
      <c r="J531" s="37" t="str">
        <f aca="false">IF($A531="","",IFERROR(INDEX(Lists!$B$2:$B$10,MATCH($I531,Lists!$A$2:$A$10,0)),""))</f>
        <v/>
      </c>
      <c r="N531" s="0" t="str">
        <f aca="false">IF($A531="","",$L531-$K531+1)</f>
        <v/>
      </c>
      <c r="O531" s="39" t="str">
        <f aca="true">IF($A531="","",IF(OR($I531="Completed",$I531="Cancelled"),0,$L531-TODAY()))</f>
        <v/>
      </c>
      <c r="Q531" s="3"/>
      <c r="S531" s="0" t="str">
        <f aca="false">IF($A531="","",IF(AND($O531&lt;0,$I531&lt;&gt;"Completed",$I531&lt;&gt;"Cancelled"),1,0))</f>
        <v/>
      </c>
      <c r="T531" s="0" t="str">
        <f aca="false">IF($A531="","",IF($I531="Completed",ROW(),""))</f>
        <v/>
      </c>
      <c r="U531" s="0" t="str">
        <f aca="false">IF($A531="","",IF(OR($I531="Not Started",$I531="Planning",$I531="Blocked"),ROW(),""))</f>
        <v/>
      </c>
    </row>
    <row r="532" customFormat="false" ht="15" hidden="false" customHeight="false" outlineLevel="0" collapsed="false">
      <c r="B532" s="3"/>
      <c r="F532" s="3"/>
      <c r="G532" s="3"/>
      <c r="H532" s="3"/>
      <c r="I532" s="3"/>
      <c r="J532" s="37" t="str">
        <f aca="false">IF($A532="","",IFERROR(INDEX(Lists!$B$2:$B$10,MATCH($I532,Lists!$A$2:$A$10,0)),""))</f>
        <v/>
      </c>
      <c r="N532" s="0" t="str">
        <f aca="false">IF($A532="","",$L532-$K532+1)</f>
        <v/>
      </c>
      <c r="O532" s="39" t="str">
        <f aca="true">IF($A532="","",IF(OR($I532="Completed",$I532="Cancelled"),0,$L532-TODAY()))</f>
        <v/>
      </c>
      <c r="Q532" s="3"/>
      <c r="S532" s="0" t="str">
        <f aca="false">IF($A532="","",IF(AND($O532&lt;0,$I532&lt;&gt;"Completed",$I532&lt;&gt;"Cancelled"),1,0))</f>
        <v/>
      </c>
      <c r="T532" s="0" t="str">
        <f aca="false">IF($A532="","",IF($I532="Completed",ROW(),""))</f>
        <v/>
      </c>
      <c r="U532" s="0" t="str">
        <f aca="false">IF($A532="","",IF(OR($I532="Not Started",$I532="Planning",$I532="Blocked"),ROW(),""))</f>
        <v/>
      </c>
    </row>
    <row r="533" customFormat="false" ht="15" hidden="false" customHeight="false" outlineLevel="0" collapsed="false">
      <c r="B533" s="3"/>
      <c r="F533" s="3"/>
      <c r="G533" s="3"/>
      <c r="H533" s="3"/>
      <c r="I533" s="3"/>
      <c r="J533" s="37" t="str">
        <f aca="false">IF($A533="","",IFERROR(INDEX(Lists!$B$2:$B$10,MATCH($I533,Lists!$A$2:$A$10,0)),""))</f>
        <v/>
      </c>
      <c r="N533" s="0" t="str">
        <f aca="false">IF($A533="","",$L533-$K533+1)</f>
        <v/>
      </c>
      <c r="O533" s="39" t="str">
        <f aca="true">IF($A533="","",IF(OR($I533="Completed",$I533="Cancelled"),0,$L533-TODAY()))</f>
        <v/>
      </c>
      <c r="Q533" s="3"/>
      <c r="S533" s="0" t="str">
        <f aca="false">IF($A533="","",IF(AND($O533&lt;0,$I533&lt;&gt;"Completed",$I533&lt;&gt;"Cancelled"),1,0))</f>
        <v/>
      </c>
      <c r="T533" s="0" t="str">
        <f aca="false">IF($A533="","",IF($I533="Completed",ROW(),""))</f>
        <v/>
      </c>
      <c r="U533" s="0" t="str">
        <f aca="false">IF($A533="","",IF(OR($I533="Not Started",$I533="Planning",$I533="Blocked"),ROW(),""))</f>
        <v/>
      </c>
    </row>
    <row r="534" customFormat="false" ht="15" hidden="false" customHeight="false" outlineLevel="0" collapsed="false">
      <c r="B534" s="3"/>
      <c r="F534" s="3"/>
      <c r="G534" s="3"/>
      <c r="H534" s="3"/>
      <c r="I534" s="3"/>
      <c r="J534" s="37" t="str">
        <f aca="false">IF($A534="","",IFERROR(INDEX(Lists!$B$2:$B$10,MATCH($I534,Lists!$A$2:$A$10,0)),""))</f>
        <v/>
      </c>
      <c r="N534" s="0" t="str">
        <f aca="false">IF($A534="","",$L534-$K534+1)</f>
        <v/>
      </c>
      <c r="O534" s="39" t="str">
        <f aca="true">IF($A534="","",IF(OR($I534="Completed",$I534="Cancelled"),0,$L534-TODAY()))</f>
        <v/>
      </c>
      <c r="Q534" s="3"/>
      <c r="S534" s="0" t="str">
        <f aca="false">IF($A534="","",IF(AND($O534&lt;0,$I534&lt;&gt;"Completed",$I534&lt;&gt;"Cancelled"),1,0))</f>
        <v/>
      </c>
      <c r="T534" s="0" t="str">
        <f aca="false">IF($A534="","",IF($I534="Completed",ROW(),""))</f>
        <v/>
      </c>
      <c r="U534" s="0" t="str">
        <f aca="false">IF($A534="","",IF(OR($I534="Not Started",$I534="Planning",$I534="Blocked"),ROW(),""))</f>
        <v/>
      </c>
    </row>
    <row r="535" customFormat="false" ht="15" hidden="false" customHeight="false" outlineLevel="0" collapsed="false">
      <c r="B535" s="3"/>
      <c r="F535" s="3"/>
      <c r="G535" s="3"/>
      <c r="H535" s="3"/>
      <c r="I535" s="3"/>
      <c r="J535" s="37" t="str">
        <f aca="false">IF($A535="","",IFERROR(INDEX(Lists!$B$2:$B$10,MATCH($I535,Lists!$A$2:$A$10,0)),""))</f>
        <v/>
      </c>
      <c r="N535" s="0" t="str">
        <f aca="false">IF($A535="","",$L535-$K535+1)</f>
        <v/>
      </c>
      <c r="O535" s="39" t="str">
        <f aca="true">IF($A535="","",IF(OR($I535="Completed",$I535="Cancelled"),0,$L535-TODAY()))</f>
        <v/>
      </c>
      <c r="Q535" s="3"/>
      <c r="S535" s="0" t="str">
        <f aca="false">IF($A535="","",IF(AND($O535&lt;0,$I535&lt;&gt;"Completed",$I535&lt;&gt;"Cancelled"),1,0))</f>
        <v/>
      </c>
      <c r="T535" s="0" t="str">
        <f aca="false">IF($A535="","",IF($I535="Completed",ROW(),""))</f>
        <v/>
      </c>
      <c r="U535" s="0" t="str">
        <f aca="false">IF($A535="","",IF(OR($I535="Not Started",$I535="Planning",$I535="Blocked"),ROW(),""))</f>
        <v/>
      </c>
    </row>
    <row r="536" customFormat="false" ht="15" hidden="false" customHeight="false" outlineLevel="0" collapsed="false">
      <c r="B536" s="3"/>
      <c r="F536" s="3"/>
      <c r="G536" s="3"/>
      <c r="H536" s="3"/>
      <c r="I536" s="3"/>
      <c r="J536" s="37" t="str">
        <f aca="false">IF($A536="","",IFERROR(INDEX(Lists!$B$2:$B$10,MATCH($I536,Lists!$A$2:$A$10,0)),""))</f>
        <v/>
      </c>
      <c r="N536" s="0" t="str">
        <f aca="false">IF($A536="","",$L536-$K536+1)</f>
        <v/>
      </c>
      <c r="O536" s="39" t="str">
        <f aca="true">IF($A536="","",IF(OR($I536="Completed",$I536="Cancelled"),0,$L536-TODAY()))</f>
        <v/>
      </c>
      <c r="Q536" s="3"/>
      <c r="S536" s="0" t="str">
        <f aca="false">IF($A536="","",IF(AND($O536&lt;0,$I536&lt;&gt;"Completed",$I536&lt;&gt;"Cancelled"),1,0))</f>
        <v/>
      </c>
      <c r="T536" s="0" t="str">
        <f aca="false">IF($A536="","",IF($I536="Completed",ROW(),""))</f>
        <v/>
      </c>
      <c r="U536" s="0" t="str">
        <f aca="false">IF($A536="","",IF(OR($I536="Not Started",$I536="Planning",$I536="Blocked"),ROW(),""))</f>
        <v/>
      </c>
    </row>
    <row r="537" customFormat="false" ht="15" hidden="false" customHeight="false" outlineLevel="0" collapsed="false">
      <c r="B537" s="3"/>
      <c r="F537" s="3"/>
      <c r="G537" s="3"/>
      <c r="H537" s="3"/>
      <c r="I537" s="3"/>
      <c r="J537" s="37" t="str">
        <f aca="false">IF($A537="","",IFERROR(INDEX(Lists!$B$2:$B$10,MATCH($I537,Lists!$A$2:$A$10,0)),""))</f>
        <v/>
      </c>
      <c r="N537" s="0" t="str">
        <f aca="false">IF($A537="","",$L537-$K537+1)</f>
        <v/>
      </c>
      <c r="O537" s="39" t="str">
        <f aca="true">IF($A537="","",IF(OR($I537="Completed",$I537="Cancelled"),0,$L537-TODAY()))</f>
        <v/>
      </c>
      <c r="Q537" s="3"/>
      <c r="S537" s="0" t="str">
        <f aca="false">IF($A537="","",IF(AND($O537&lt;0,$I537&lt;&gt;"Completed",$I537&lt;&gt;"Cancelled"),1,0))</f>
        <v/>
      </c>
      <c r="T537" s="0" t="str">
        <f aca="false">IF($A537="","",IF($I537="Completed",ROW(),""))</f>
        <v/>
      </c>
      <c r="U537" s="0" t="str">
        <f aca="false">IF($A537="","",IF(OR($I537="Not Started",$I537="Planning",$I537="Blocked"),ROW(),""))</f>
        <v/>
      </c>
    </row>
    <row r="538" customFormat="false" ht="15" hidden="false" customHeight="false" outlineLevel="0" collapsed="false">
      <c r="B538" s="3"/>
      <c r="F538" s="3"/>
      <c r="G538" s="3"/>
      <c r="H538" s="3"/>
      <c r="I538" s="3"/>
      <c r="J538" s="37" t="str">
        <f aca="false">IF($A538="","",IFERROR(INDEX(Lists!$B$2:$B$10,MATCH($I538,Lists!$A$2:$A$10,0)),""))</f>
        <v/>
      </c>
      <c r="N538" s="0" t="str">
        <f aca="false">IF($A538="","",$L538-$K538+1)</f>
        <v/>
      </c>
      <c r="O538" s="39" t="str">
        <f aca="true">IF($A538="","",IF(OR($I538="Completed",$I538="Cancelled"),0,$L538-TODAY()))</f>
        <v/>
      </c>
      <c r="Q538" s="3"/>
      <c r="S538" s="0" t="str">
        <f aca="false">IF($A538="","",IF(AND($O538&lt;0,$I538&lt;&gt;"Completed",$I538&lt;&gt;"Cancelled"),1,0))</f>
        <v/>
      </c>
      <c r="T538" s="0" t="str">
        <f aca="false">IF($A538="","",IF($I538="Completed",ROW(),""))</f>
        <v/>
      </c>
      <c r="U538" s="0" t="str">
        <f aca="false">IF($A538="","",IF(OR($I538="Not Started",$I538="Planning",$I538="Blocked"),ROW(),""))</f>
        <v/>
      </c>
    </row>
    <row r="539" customFormat="false" ht="15" hidden="false" customHeight="false" outlineLevel="0" collapsed="false">
      <c r="B539" s="3"/>
      <c r="F539" s="3"/>
      <c r="G539" s="3"/>
      <c r="H539" s="3"/>
      <c r="I539" s="3"/>
      <c r="J539" s="37" t="str">
        <f aca="false">IF($A539="","",IFERROR(INDEX(Lists!$B$2:$B$10,MATCH($I539,Lists!$A$2:$A$10,0)),""))</f>
        <v/>
      </c>
      <c r="N539" s="0" t="str">
        <f aca="false">IF($A539="","",$L539-$K539+1)</f>
        <v/>
      </c>
      <c r="O539" s="39" t="str">
        <f aca="true">IF($A539="","",IF(OR($I539="Completed",$I539="Cancelled"),0,$L539-TODAY()))</f>
        <v/>
      </c>
      <c r="Q539" s="3"/>
      <c r="S539" s="0" t="str">
        <f aca="false">IF($A539="","",IF(AND($O539&lt;0,$I539&lt;&gt;"Completed",$I539&lt;&gt;"Cancelled"),1,0))</f>
        <v/>
      </c>
      <c r="T539" s="0" t="str">
        <f aca="false">IF($A539="","",IF($I539="Completed",ROW(),""))</f>
        <v/>
      </c>
      <c r="U539" s="0" t="str">
        <f aca="false">IF($A539="","",IF(OR($I539="Not Started",$I539="Planning",$I539="Blocked"),ROW(),""))</f>
        <v/>
      </c>
    </row>
    <row r="540" customFormat="false" ht="15" hidden="false" customHeight="false" outlineLevel="0" collapsed="false">
      <c r="B540" s="3"/>
      <c r="F540" s="3"/>
      <c r="G540" s="3"/>
      <c r="H540" s="3"/>
      <c r="I540" s="3"/>
      <c r="J540" s="37" t="str">
        <f aca="false">IF($A540="","",IFERROR(INDEX(Lists!$B$2:$B$10,MATCH($I540,Lists!$A$2:$A$10,0)),""))</f>
        <v/>
      </c>
      <c r="N540" s="0" t="str">
        <f aca="false">IF($A540="","",$L540-$K540+1)</f>
        <v/>
      </c>
      <c r="O540" s="39" t="str">
        <f aca="true">IF($A540="","",IF(OR($I540="Completed",$I540="Cancelled"),0,$L540-TODAY()))</f>
        <v/>
      </c>
      <c r="Q540" s="3"/>
      <c r="S540" s="0" t="str">
        <f aca="false">IF($A540="","",IF(AND($O540&lt;0,$I540&lt;&gt;"Completed",$I540&lt;&gt;"Cancelled"),1,0))</f>
        <v/>
      </c>
      <c r="T540" s="0" t="str">
        <f aca="false">IF($A540="","",IF($I540="Completed",ROW(),""))</f>
        <v/>
      </c>
      <c r="U540" s="0" t="str">
        <f aca="false">IF($A540="","",IF(OR($I540="Not Started",$I540="Planning",$I540="Blocked"),ROW(),""))</f>
        <v/>
      </c>
    </row>
    <row r="541" customFormat="false" ht="15" hidden="false" customHeight="false" outlineLevel="0" collapsed="false">
      <c r="B541" s="3"/>
      <c r="F541" s="3"/>
      <c r="G541" s="3"/>
      <c r="H541" s="3"/>
      <c r="I541" s="3"/>
      <c r="J541" s="37" t="str">
        <f aca="false">IF($A541="","",IFERROR(INDEX(Lists!$B$2:$B$10,MATCH($I541,Lists!$A$2:$A$10,0)),""))</f>
        <v/>
      </c>
      <c r="N541" s="0" t="str">
        <f aca="false">IF($A541="","",$L541-$K541+1)</f>
        <v/>
      </c>
      <c r="O541" s="39" t="str">
        <f aca="true">IF($A541="","",IF(OR($I541="Completed",$I541="Cancelled"),0,$L541-TODAY()))</f>
        <v/>
      </c>
      <c r="Q541" s="3"/>
      <c r="S541" s="0" t="str">
        <f aca="false">IF($A541="","",IF(AND($O541&lt;0,$I541&lt;&gt;"Completed",$I541&lt;&gt;"Cancelled"),1,0))</f>
        <v/>
      </c>
      <c r="T541" s="0" t="str">
        <f aca="false">IF($A541="","",IF($I541="Completed",ROW(),""))</f>
        <v/>
      </c>
      <c r="U541" s="0" t="str">
        <f aca="false">IF($A541="","",IF(OR($I541="Not Started",$I541="Planning",$I541="Blocked"),ROW(),""))</f>
        <v/>
      </c>
    </row>
    <row r="542" customFormat="false" ht="15" hidden="false" customHeight="false" outlineLevel="0" collapsed="false">
      <c r="B542" s="3"/>
      <c r="F542" s="3"/>
      <c r="G542" s="3"/>
      <c r="H542" s="3"/>
      <c r="I542" s="3"/>
      <c r="J542" s="37" t="str">
        <f aca="false">IF($A542="","",IFERROR(INDEX(Lists!$B$2:$B$10,MATCH($I542,Lists!$A$2:$A$10,0)),""))</f>
        <v/>
      </c>
      <c r="N542" s="0" t="str">
        <f aca="false">IF($A542="","",$L542-$K542+1)</f>
        <v/>
      </c>
      <c r="O542" s="39" t="str">
        <f aca="true">IF($A542="","",IF(OR($I542="Completed",$I542="Cancelled"),0,$L542-TODAY()))</f>
        <v/>
      </c>
      <c r="Q542" s="3"/>
      <c r="S542" s="0" t="str">
        <f aca="false">IF($A542="","",IF(AND($O542&lt;0,$I542&lt;&gt;"Completed",$I542&lt;&gt;"Cancelled"),1,0))</f>
        <v/>
      </c>
      <c r="T542" s="0" t="str">
        <f aca="false">IF($A542="","",IF($I542="Completed",ROW(),""))</f>
        <v/>
      </c>
      <c r="U542" s="0" t="str">
        <f aca="false">IF($A542="","",IF(OR($I542="Not Started",$I542="Planning",$I542="Blocked"),ROW(),""))</f>
        <v/>
      </c>
    </row>
    <row r="543" customFormat="false" ht="15" hidden="false" customHeight="false" outlineLevel="0" collapsed="false">
      <c r="B543" s="3"/>
      <c r="F543" s="3"/>
      <c r="G543" s="3"/>
      <c r="H543" s="3"/>
      <c r="I543" s="3"/>
      <c r="J543" s="37" t="str">
        <f aca="false">IF($A543="","",IFERROR(INDEX(Lists!$B$2:$B$10,MATCH($I543,Lists!$A$2:$A$10,0)),""))</f>
        <v/>
      </c>
      <c r="N543" s="0" t="str">
        <f aca="false">IF($A543="","",$L543-$K543+1)</f>
        <v/>
      </c>
      <c r="O543" s="39" t="str">
        <f aca="true">IF($A543="","",IF(OR($I543="Completed",$I543="Cancelled"),0,$L543-TODAY()))</f>
        <v/>
      </c>
      <c r="Q543" s="3"/>
      <c r="S543" s="0" t="str">
        <f aca="false">IF($A543="","",IF(AND($O543&lt;0,$I543&lt;&gt;"Completed",$I543&lt;&gt;"Cancelled"),1,0))</f>
        <v/>
      </c>
      <c r="T543" s="0" t="str">
        <f aca="false">IF($A543="","",IF($I543="Completed",ROW(),""))</f>
        <v/>
      </c>
      <c r="U543" s="0" t="str">
        <f aca="false">IF($A543="","",IF(OR($I543="Not Started",$I543="Planning",$I543="Blocked"),ROW(),""))</f>
        <v/>
      </c>
    </row>
    <row r="544" customFormat="false" ht="15" hidden="false" customHeight="false" outlineLevel="0" collapsed="false">
      <c r="B544" s="3"/>
      <c r="F544" s="3"/>
      <c r="G544" s="3"/>
      <c r="H544" s="3"/>
      <c r="I544" s="3"/>
      <c r="J544" s="37" t="str">
        <f aca="false">IF($A544="","",IFERROR(INDEX(Lists!$B$2:$B$10,MATCH($I544,Lists!$A$2:$A$10,0)),""))</f>
        <v/>
      </c>
      <c r="N544" s="0" t="str">
        <f aca="false">IF($A544="","",$L544-$K544+1)</f>
        <v/>
      </c>
      <c r="O544" s="39" t="str">
        <f aca="true">IF($A544="","",IF(OR($I544="Completed",$I544="Cancelled"),0,$L544-TODAY()))</f>
        <v/>
      </c>
      <c r="Q544" s="3"/>
      <c r="S544" s="0" t="str">
        <f aca="false">IF($A544="","",IF(AND($O544&lt;0,$I544&lt;&gt;"Completed",$I544&lt;&gt;"Cancelled"),1,0))</f>
        <v/>
      </c>
      <c r="T544" s="0" t="str">
        <f aca="false">IF($A544="","",IF($I544="Completed",ROW(),""))</f>
        <v/>
      </c>
      <c r="U544" s="0" t="str">
        <f aca="false">IF($A544="","",IF(OR($I544="Not Started",$I544="Planning",$I544="Blocked"),ROW(),""))</f>
        <v/>
      </c>
    </row>
    <row r="545" customFormat="false" ht="15" hidden="false" customHeight="false" outlineLevel="0" collapsed="false">
      <c r="B545" s="3"/>
      <c r="F545" s="3"/>
      <c r="G545" s="3"/>
      <c r="H545" s="3"/>
      <c r="I545" s="3"/>
      <c r="J545" s="37" t="str">
        <f aca="false">IF($A545="","",IFERROR(INDEX(Lists!$B$2:$B$10,MATCH($I545,Lists!$A$2:$A$10,0)),""))</f>
        <v/>
      </c>
      <c r="N545" s="0" t="str">
        <f aca="false">IF($A545="","",$L545-$K545+1)</f>
        <v/>
      </c>
      <c r="O545" s="39" t="str">
        <f aca="true">IF($A545="","",IF(OR($I545="Completed",$I545="Cancelled"),0,$L545-TODAY()))</f>
        <v/>
      </c>
      <c r="Q545" s="3"/>
      <c r="S545" s="0" t="str">
        <f aca="false">IF($A545="","",IF(AND($O545&lt;0,$I545&lt;&gt;"Completed",$I545&lt;&gt;"Cancelled"),1,0))</f>
        <v/>
      </c>
      <c r="T545" s="0" t="str">
        <f aca="false">IF($A545="","",IF($I545="Completed",ROW(),""))</f>
        <v/>
      </c>
      <c r="U545" s="0" t="str">
        <f aca="false">IF($A545="","",IF(OR($I545="Not Started",$I545="Planning",$I545="Blocked"),ROW(),""))</f>
        <v/>
      </c>
    </row>
    <row r="546" customFormat="false" ht="15" hidden="false" customHeight="false" outlineLevel="0" collapsed="false">
      <c r="B546" s="3"/>
      <c r="F546" s="3"/>
      <c r="G546" s="3"/>
      <c r="H546" s="3"/>
      <c r="I546" s="3"/>
      <c r="J546" s="37" t="str">
        <f aca="false">IF($A546="","",IFERROR(INDEX(Lists!$B$2:$B$10,MATCH($I546,Lists!$A$2:$A$10,0)),""))</f>
        <v/>
      </c>
      <c r="N546" s="0" t="str">
        <f aca="false">IF($A546="","",$L546-$K546+1)</f>
        <v/>
      </c>
      <c r="O546" s="39" t="str">
        <f aca="true">IF($A546="","",IF(OR($I546="Completed",$I546="Cancelled"),0,$L546-TODAY()))</f>
        <v/>
      </c>
      <c r="Q546" s="3"/>
      <c r="S546" s="0" t="str">
        <f aca="false">IF($A546="","",IF(AND($O546&lt;0,$I546&lt;&gt;"Completed",$I546&lt;&gt;"Cancelled"),1,0))</f>
        <v/>
      </c>
      <c r="T546" s="0" t="str">
        <f aca="false">IF($A546="","",IF($I546="Completed",ROW(),""))</f>
        <v/>
      </c>
      <c r="U546" s="0" t="str">
        <f aca="false">IF($A546="","",IF(OR($I546="Not Started",$I546="Planning",$I546="Blocked"),ROW(),""))</f>
        <v/>
      </c>
    </row>
    <row r="547" customFormat="false" ht="15" hidden="false" customHeight="false" outlineLevel="0" collapsed="false">
      <c r="B547" s="3"/>
      <c r="F547" s="3"/>
      <c r="G547" s="3"/>
      <c r="H547" s="3"/>
      <c r="I547" s="3"/>
      <c r="J547" s="37" t="str">
        <f aca="false">IF($A547="","",IFERROR(INDEX(Lists!$B$2:$B$10,MATCH($I547,Lists!$A$2:$A$10,0)),""))</f>
        <v/>
      </c>
      <c r="N547" s="0" t="str">
        <f aca="false">IF($A547="","",$L547-$K547+1)</f>
        <v/>
      </c>
      <c r="O547" s="39" t="str">
        <f aca="true">IF($A547="","",IF(OR($I547="Completed",$I547="Cancelled"),0,$L547-TODAY()))</f>
        <v/>
      </c>
      <c r="Q547" s="3"/>
      <c r="S547" s="0" t="str">
        <f aca="false">IF($A547="","",IF(AND($O547&lt;0,$I547&lt;&gt;"Completed",$I547&lt;&gt;"Cancelled"),1,0))</f>
        <v/>
      </c>
      <c r="T547" s="0" t="str">
        <f aca="false">IF($A547="","",IF($I547="Completed",ROW(),""))</f>
        <v/>
      </c>
      <c r="U547" s="0" t="str">
        <f aca="false">IF($A547="","",IF(OR($I547="Not Started",$I547="Planning",$I547="Blocked"),ROW(),""))</f>
        <v/>
      </c>
    </row>
    <row r="548" customFormat="false" ht="15" hidden="false" customHeight="false" outlineLevel="0" collapsed="false">
      <c r="B548" s="3"/>
      <c r="F548" s="3"/>
      <c r="G548" s="3"/>
      <c r="H548" s="3"/>
      <c r="I548" s="3"/>
      <c r="J548" s="37" t="str">
        <f aca="false">IF($A548="","",IFERROR(INDEX(Lists!$B$2:$B$10,MATCH($I548,Lists!$A$2:$A$10,0)),""))</f>
        <v/>
      </c>
      <c r="N548" s="0" t="str">
        <f aca="false">IF($A548="","",$L548-$K548+1)</f>
        <v/>
      </c>
      <c r="O548" s="39" t="str">
        <f aca="true">IF($A548="","",IF(OR($I548="Completed",$I548="Cancelled"),0,$L548-TODAY()))</f>
        <v/>
      </c>
      <c r="Q548" s="3"/>
      <c r="S548" s="0" t="str">
        <f aca="false">IF($A548="","",IF(AND($O548&lt;0,$I548&lt;&gt;"Completed",$I548&lt;&gt;"Cancelled"),1,0))</f>
        <v/>
      </c>
      <c r="T548" s="0" t="str">
        <f aca="false">IF($A548="","",IF($I548="Completed",ROW(),""))</f>
        <v/>
      </c>
      <c r="U548" s="0" t="str">
        <f aca="false">IF($A548="","",IF(OR($I548="Not Started",$I548="Planning",$I548="Blocked"),ROW(),""))</f>
        <v/>
      </c>
    </row>
    <row r="549" customFormat="false" ht="15" hidden="false" customHeight="false" outlineLevel="0" collapsed="false">
      <c r="B549" s="3"/>
      <c r="F549" s="3"/>
      <c r="G549" s="3"/>
      <c r="H549" s="3"/>
      <c r="I549" s="3"/>
      <c r="J549" s="37" t="str">
        <f aca="false">IF($A549="","",IFERROR(INDEX(Lists!$B$2:$B$10,MATCH($I549,Lists!$A$2:$A$10,0)),""))</f>
        <v/>
      </c>
      <c r="N549" s="0" t="str">
        <f aca="false">IF($A549="","",$L549-$K549+1)</f>
        <v/>
      </c>
      <c r="O549" s="39" t="str">
        <f aca="true">IF($A549="","",IF(OR($I549="Completed",$I549="Cancelled"),0,$L549-TODAY()))</f>
        <v/>
      </c>
      <c r="Q549" s="3"/>
      <c r="S549" s="0" t="str">
        <f aca="false">IF($A549="","",IF(AND($O549&lt;0,$I549&lt;&gt;"Completed",$I549&lt;&gt;"Cancelled"),1,0))</f>
        <v/>
      </c>
      <c r="T549" s="0" t="str">
        <f aca="false">IF($A549="","",IF($I549="Completed",ROW(),""))</f>
        <v/>
      </c>
      <c r="U549" s="0" t="str">
        <f aca="false">IF($A549="","",IF(OR($I549="Not Started",$I549="Planning",$I549="Blocked"),ROW(),""))</f>
        <v/>
      </c>
    </row>
    <row r="550" customFormat="false" ht="15" hidden="false" customHeight="false" outlineLevel="0" collapsed="false">
      <c r="B550" s="3"/>
      <c r="F550" s="3"/>
      <c r="G550" s="3"/>
      <c r="H550" s="3"/>
      <c r="I550" s="3"/>
      <c r="J550" s="37" t="str">
        <f aca="false">IF($A550="","",IFERROR(INDEX(Lists!$B$2:$B$10,MATCH($I550,Lists!$A$2:$A$10,0)),""))</f>
        <v/>
      </c>
      <c r="N550" s="0" t="str">
        <f aca="false">IF($A550="","",$L550-$K550+1)</f>
        <v/>
      </c>
      <c r="O550" s="39" t="str">
        <f aca="true">IF($A550="","",IF(OR($I550="Completed",$I550="Cancelled"),0,$L550-TODAY()))</f>
        <v/>
      </c>
      <c r="Q550" s="3"/>
      <c r="S550" s="0" t="str">
        <f aca="false">IF($A550="","",IF(AND($O550&lt;0,$I550&lt;&gt;"Completed",$I550&lt;&gt;"Cancelled"),1,0))</f>
        <v/>
      </c>
      <c r="T550" s="0" t="str">
        <f aca="false">IF($A550="","",IF($I550="Completed",ROW(),""))</f>
        <v/>
      </c>
      <c r="U550" s="0" t="str">
        <f aca="false">IF($A550="","",IF(OR($I550="Not Started",$I550="Planning",$I550="Blocked"),ROW(),""))</f>
        <v/>
      </c>
    </row>
    <row r="551" customFormat="false" ht="15" hidden="false" customHeight="false" outlineLevel="0" collapsed="false">
      <c r="B551" s="3"/>
      <c r="F551" s="3"/>
      <c r="G551" s="3"/>
      <c r="H551" s="3"/>
      <c r="I551" s="3"/>
      <c r="J551" s="37" t="str">
        <f aca="false">IF($A551="","",IFERROR(INDEX(Lists!$B$2:$B$10,MATCH($I551,Lists!$A$2:$A$10,0)),""))</f>
        <v/>
      </c>
      <c r="N551" s="0" t="str">
        <f aca="false">IF($A551="","",$L551-$K551+1)</f>
        <v/>
      </c>
      <c r="O551" s="39" t="str">
        <f aca="true">IF($A551="","",IF(OR($I551="Completed",$I551="Cancelled"),0,$L551-TODAY()))</f>
        <v/>
      </c>
      <c r="Q551" s="3"/>
      <c r="S551" s="0" t="str">
        <f aca="false">IF($A551="","",IF(AND($O551&lt;0,$I551&lt;&gt;"Completed",$I551&lt;&gt;"Cancelled"),1,0))</f>
        <v/>
      </c>
      <c r="T551" s="0" t="str">
        <f aca="false">IF($A551="","",IF($I551="Completed",ROW(),""))</f>
        <v/>
      </c>
      <c r="U551" s="0" t="str">
        <f aca="false">IF($A551="","",IF(OR($I551="Not Started",$I551="Planning",$I551="Blocked"),ROW(),""))</f>
        <v/>
      </c>
    </row>
    <row r="552" customFormat="false" ht="15" hidden="false" customHeight="false" outlineLevel="0" collapsed="false">
      <c r="B552" s="3"/>
      <c r="F552" s="3"/>
      <c r="G552" s="3"/>
      <c r="H552" s="3"/>
      <c r="I552" s="3"/>
      <c r="J552" s="37" t="str">
        <f aca="false">IF($A552="","",IFERROR(INDEX(Lists!$B$2:$B$10,MATCH($I552,Lists!$A$2:$A$10,0)),""))</f>
        <v/>
      </c>
      <c r="N552" s="0" t="str">
        <f aca="false">IF($A552="","",$L552-$K552+1)</f>
        <v/>
      </c>
      <c r="O552" s="39" t="str">
        <f aca="true">IF($A552="","",IF(OR($I552="Completed",$I552="Cancelled"),0,$L552-TODAY()))</f>
        <v/>
      </c>
      <c r="Q552" s="3"/>
      <c r="S552" s="0" t="str">
        <f aca="false">IF($A552="","",IF(AND($O552&lt;0,$I552&lt;&gt;"Completed",$I552&lt;&gt;"Cancelled"),1,0))</f>
        <v/>
      </c>
      <c r="T552" s="0" t="str">
        <f aca="false">IF($A552="","",IF($I552="Completed",ROW(),""))</f>
        <v/>
      </c>
      <c r="U552" s="0" t="str">
        <f aca="false">IF($A552="","",IF(OR($I552="Not Started",$I552="Planning",$I552="Blocked"),ROW(),""))</f>
        <v/>
      </c>
    </row>
    <row r="553" customFormat="false" ht="15" hidden="false" customHeight="false" outlineLevel="0" collapsed="false">
      <c r="B553" s="3"/>
      <c r="F553" s="3"/>
      <c r="G553" s="3"/>
      <c r="H553" s="3"/>
      <c r="I553" s="3"/>
      <c r="J553" s="37" t="str">
        <f aca="false">IF($A553="","",IFERROR(INDEX(Lists!$B$2:$B$10,MATCH($I553,Lists!$A$2:$A$10,0)),""))</f>
        <v/>
      </c>
      <c r="N553" s="0" t="str">
        <f aca="false">IF($A553="","",$L553-$K553+1)</f>
        <v/>
      </c>
      <c r="O553" s="39" t="str">
        <f aca="true">IF($A553="","",IF(OR($I553="Completed",$I553="Cancelled"),0,$L553-TODAY()))</f>
        <v/>
      </c>
      <c r="Q553" s="3"/>
      <c r="S553" s="0" t="str">
        <f aca="false">IF($A553="","",IF(AND($O553&lt;0,$I553&lt;&gt;"Completed",$I553&lt;&gt;"Cancelled"),1,0))</f>
        <v/>
      </c>
      <c r="T553" s="0" t="str">
        <f aca="false">IF($A553="","",IF($I553="Completed",ROW(),""))</f>
        <v/>
      </c>
      <c r="U553" s="0" t="str">
        <f aca="false">IF($A553="","",IF(OR($I553="Not Started",$I553="Planning",$I553="Blocked"),ROW(),""))</f>
        <v/>
      </c>
    </row>
    <row r="554" customFormat="false" ht="15" hidden="false" customHeight="false" outlineLevel="0" collapsed="false">
      <c r="B554" s="3"/>
      <c r="F554" s="3"/>
      <c r="G554" s="3"/>
      <c r="H554" s="3"/>
      <c r="I554" s="3"/>
      <c r="J554" s="37" t="str">
        <f aca="false">IF($A554="","",IFERROR(INDEX(Lists!$B$2:$B$10,MATCH($I554,Lists!$A$2:$A$10,0)),""))</f>
        <v/>
      </c>
      <c r="N554" s="0" t="str">
        <f aca="false">IF($A554="","",$L554-$K554+1)</f>
        <v/>
      </c>
      <c r="O554" s="39" t="str">
        <f aca="true">IF($A554="","",IF(OR($I554="Completed",$I554="Cancelled"),0,$L554-TODAY()))</f>
        <v/>
      </c>
      <c r="Q554" s="3"/>
      <c r="S554" s="0" t="str">
        <f aca="false">IF($A554="","",IF(AND($O554&lt;0,$I554&lt;&gt;"Completed",$I554&lt;&gt;"Cancelled"),1,0))</f>
        <v/>
      </c>
      <c r="T554" s="0" t="str">
        <f aca="false">IF($A554="","",IF($I554="Completed",ROW(),""))</f>
        <v/>
      </c>
      <c r="U554" s="0" t="str">
        <f aca="false">IF($A554="","",IF(OR($I554="Not Started",$I554="Planning",$I554="Blocked"),ROW(),""))</f>
        <v/>
      </c>
    </row>
    <row r="555" customFormat="false" ht="15" hidden="false" customHeight="false" outlineLevel="0" collapsed="false">
      <c r="B555" s="3"/>
      <c r="F555" s="3"/>
      <c r="G555" s="3"/>
      <c r="H555" s="3"/>
      <c r="I555" s="3"/>
      <c r="J555" s="37" t="str">
        <f aca="false">IF($A555="","",IFERROR(INDEX(Lists!$B$2:$B$10,MATCH($I555,Lists!$A$2:$A$10,0)),""))</f>
        <v/>
      </c>
      <c r="N555" s="0" t="str">
        <f aca="false">IF($A555="","",$L555-$K555+1)</f>
        <v/>
      </c>
      <c r="O555" s="39" t="str">
        <f aca="true">IF($A555="","",IF(OR($I555="Completed",$I555="Cancelled"),0,$L555-TODAY()))</f>
        <v/>
      </c>
      <c r="Q555" s="3"/>
      <c r="S555" s="0" t="str">
        <f aca="false">IF($A555="","",IF(AND($O555&lt;0,$I555&lt;&gt;"Completed",$I555&lt;&gt;"Cancelled"),1,0))</f>
        <v/>
      </c>
      <c r="T555" s="0" t="str">
        <f aca="false">IF($A555="","",IF($I555="Completed",ROW(),""))</f>
        <v/>
      </c>
      <c r="U555" s="0" t="str">
        <f aca="false">IF($A555="","",IF(OR($I555="Not Started",$I555="Planning",$I555="Blocked"),ROW(),""))</f>
        <v/>
      </c>
    </row>
    <row r="556" customFormat="false" ht="15" hidden="false" customHeight="false" outlineLevel="0" collapsed="false">
      <c r="B556" s="3"/>
      <c r="F556" s="3"/>
      <c r="G556" s="3"/>
      <c r="H556" s="3"/>
      <c r="I556" s="3"/>
      <c r="J556" s="37" t="str">
        <f aca="false">IF($A556="","",IFERROR(INDEX(Lists!$B$2:$B$10,MATCH($I556,Lists!$A$2:$A$10,0)),""))</f>
        <v/>
      </c>
      <c r="N556" s="0" t="str">
        <f aca="false">IF($A556="","",$L556-$K556+1)</f>
        <v/>
      </c>
      <c r="O556" s="39" t="str">
        <f aca="true">IF($A556="","",IF(OR($I556="Completed",$I556="Cancelled"),0,$L556-TODAY()))</f>
        <v/>
      </c>
      <c r="Q556" s="3"/>
      <c r="S556" s="0" t="str">
        <f aca="false">IF($A556="","",IF(AND($O556&lt;0,$I556&lt;&gt;"Completed",$I556&lt;&gt;"Cancelled"),1,0))</f>
        <v/>
      </c>
      <c r="T556" s="0" t="str">
        <f aca="false">IF($A556="","",IF($I556="Completed",ROW(),""))</f>
        <v/>
      </c>
      <c r="U556" s="0" t="str">
        <f aca="false">IF($A556="","",IF(OR($I556="Not Started",$I556="Planning",$I556="Blocked"),ROW(),""))</f>
        <v/>
      </c>
    </row>
    <row r="557" customFormat="false" ht="15" hidden="false" customHeight="false" outlineLevel="0" collapsed="false">
      <c r="B557" s="3"/>
      <c r="F557" s="3"/>
      <c r="G557" s="3"/>
      <c r="H557" s="3"/>
      <c r="I557" s="3"/>
      <c r="J557" s="37" t="str">
        <f aca="false">IF($A557="","",IFERROR(INDEX(Lists!$B$2:$B$10,MATCH($I557,Lists!$A$2:$A$10,0)),""))</f>
        <v/>
      </c>
      <c r="N557" s="0" t="str">
        <f aca="false">IF($A557="","",$L557-$K557+1)</f>
        <v/>
      </c>
      <c r="O557" s="39" t="str">
        <f aca="true">IF($A557="","",IF(OR($I557="Completed",$I557="Cancelled"),0,$L557-TODAY()))</f>
        <v/>
      </c>
      <c r="Q557" s="3"/>
      <c r="S557" s="0" t="str">
        <f aca="false">IF($A557="","",IF(AND($O557&lt;0,$I557&lt;&gt;"Completed",$I557&lt;&gt;"Cancelled"),1,0))</f>
        <v/>
      </c>
      <c r="T557" s="0" t="str">
        <f aca="false">IF($A557="","",IF($I557="Completed",ROW(),""))</f>
        <v/>
      </c>
      <c r="U557" s="0" t="str">
        <f aca="false">IF($A557="","",IF(OR($I557="Not Started",$I557="Planning",$I557="Blocked"),ROW(),""))</f>
        <v/>
      </c>
    </row>
    <row r="558" customFormat="false" ht="15" hidden="false" customHeight="false" outlineLevel="0" collapsed="false">
      <c r="B558" s="3"/>
      <c r="F558" s="3"/>
      <c r="G558" s="3"/>
      <c r="H558" s="3"/>
      <c r="I558" s="3"/>
      <c r="J558" s="37" t="str">
        <f aca="false">IF($A558="","",IFERROR(INDEX(Lists!$B$2:$B$10,MATCH($I558,Lists!$A$2:$A$10,0)),""))</f>
        <v/>
      </c>
      <c r="N558" s="0" t="str">
        <f aca="false">IF($A558="","",$L558-$K558+1)</f>
        <v/>
      </c>
      <c r="O558" s="39" t="str">
        <f aca="true">IF($A558="","",IF(OR($I558="Completed",$I558="Cancelled"),0,$L558-TODAY()))</f>
        <v/>
      </c>
      <c r="Q558" s="3"/>
      <c r="S558" s="0" t="str">
        <f aca="false">IF($A558="","",IF(AND($O558&lt;0,$I558&lt;&gt;"Completed",$I558&lt;&gt;"Cancelled"),1,0))</f>
        <v/>
      </c>
      <c r="T558" s="0" t="str">
        <f aca="false">IF($A558="","",IF($I558="Completed",ROW(),""))</f>
        <v/>
      </c>
      <c r="U558" s="0" t="str">
        <f aca="false">IF($A558="","",IF(OR($I558="Not Started",$I558="Planning",$I558="Blocked"),ROW(),""))</f>
        <v/>
      </c>
    </row>
    <row r="559" customFormat="false" ht="15" hidden="false" customHeight="false" outlineLevel="0" collapsed="false">
      <c r="B559" s="3"/>
      <c r="F559" s="3"/>
      <c r="G559" s="3"/>
      <c r="H559" s="3"/>
      <c r="I559" s="3"/>
      <c r="J559" s="37" t="str">
        <f aca="false">IF($A559="","",IFERROR(INDEX(Lists!$B$2:$B$10,MATCH($I559,Lists!$A$2:$A$10,0)),""))</f>
        <v/>
      </c>
      <c r="N559" s="0" t="str">
        <f aca="false">IF($A559="","",$L559-$K559+1)</f>
        <v/>
      </c>
      <c r="O559" s="39" t="str">
        <f aca="true">IF($A559="","",IF(OR($I559="Completed",$I559="Cancelled"),0,$L559-TODAY()))</f>
        <v/>
      </c>
      <c r="Q559" s="3"/>
      <c r="S559" s="0" t="str">
        <f aca="false">IF($A559="","",IF(AND($O559&lt;0,$I559&lt;&gt;"Completed",$I559&lt;&gt;"Cancelled"),1,0))</f>
        <v/>
      </c>
      <c r="T559" s="0" t="str">
        <f aca="false">IF($A559="","",IF($I559="Completed",ROW(),""))</f>
        <v/>
      </c>
      <c r="U559" s="0" t="str">
        <f aca="false">IF($A559="","",IF(OR($I559="Not Started",$I559="Planning",$I559="Blocked"),ROW(),""))</f>
        <v/>
      </c>
    </row>
    <row r="560" customFormat="false" ht="15" hidden="false" customHeight="false" outlineLevel="0" collapsed="false">
      <c r="B560" s="3"/>
      <c r="F560" s="3"/>
      <c r="G560" s="3"/>
      <c r="H560" s="3"/>
      <c r="I560" s="3"/>
      <c r="J560" s="37" t="str">
        <f aca="false">IF($A560="","",IFERROR(INDEX(Lists!$B$2:$B$10,MATCH($I560,Lists!$A$2:$A$10,0)),""))</f>
        <v/>
      </c>
      <c r="N560" s="0" t="str">
        <f aca="false">IF($A560="","",$L560-$K560+1)</f>
        <v/>
      </c>
      <c r="O560" s="39" t="str">
        <f aca="true">IF($A560="","",IF(OR($I560="Completed",$I560="Cancelled"),0,$L560-TODAY()))</f>
        <v/>
      </c>
      <c r="Q560" s="3"/>
      <c r="S560" s="0" t="str">
        <f aca="false">IF($A560="","",IF(AND($O560&lt;0,$I560&lt;&gt;"Completed",$I560&lt;&gt;"Cancelled"),1,0))</f>
        <v/>
      </c>
      <c r="T560" s="0" t="str">
        <f aca="false">IF($A560="","",IF($I560="Completed",ROW(),""))</f>
        <v/>
      </c>
      <c r="U560" s="0" t="str">
        <f aca="false">IF($A560="","",IF(OR($I560="Not Started",$I560="Planning",$I560="Blocked"),ROW(),""))</f>
        <v/>
      </c>
    </row>
    <row r="561" customFormat="false" ht="15" hidden="false" customHeight="false" outlineLevel="0" collapsed="false">
      <c r="B561" s="3"/>
      <c r="F561" s="3"/>
      <c r="G561" s="3"/>
      <c r="H561" s="3"/>
      <c r="I561" s="3"/>
      <c r="J561" s="37" t="str">
        <f aca="false">IF($A561="","",IFERROR(INDEX(Lists!$B$2:$B$10,MATCH($I561,Lists!$A$2:$A$10,0)),""))</f>
        <v/>
      </c>
      <c r="N561" s="0" t="str">
        <f aca="false">IF($A561="","",$L561-$K561+1)</f>
        <v/>
      </c>
      <c r="O561" s="39" t="str">
        <f aca="true">IF($A561="","",IF(OR($I561="Completed",$I561="Cancelled"),0,$L561-TODAY()))</f>
        <v/>
      </c>
      <c r="Q561" s="3"/>
      <c r="S561" s="0" t="str">
        <f aca="false">IF($A561="","",IF(AND($O561&lt;0,$I561&lt;&gt;"Completed",$I561&lt;&gt;"Cancelled"),1,0))</f>
        <v/>
      </c>
      <c r="T561" s="0" t="str">
        <f aca="false">IF($A561="","",IF($I561="Completed",ROW(),""))</f>
        <v/>
      </c>
      <c r="U561" s="0" t="str">
        <f aca="false">IF($A561="","",IF(OR($I561="Not Started",$I561="Planning",$I561="Blocked"),ROW(),""))</f>
        <v/>
      </c>
    </row>
    <row r="562" customFormat="false" ht="15" hidden="false" customHeight="false" outlineLevel="0" collapsed="false">
      <c r="B562" s="3"/>
      <c r="F562" s="3"/>
      <c r="G562" s="3"/>
      <c r="H562" s="3"/>
      <c r="I562" s="3"/>
      <c r="J562" s="37" t="str">
        <f aca="false">IF($A562="","",IFERROR(INDEX(Lists!$B$2:$B$10,MATCH($I562,Lists!$A$2:$A$10,0)),""))</f>
        <v/>
      </c>
      <c r="N562" s="0" t="str">
        <f aca="false">IF($A562="","",$L562-$K562+1)</f>
        <v/>
      </c>
      <c r="O562" s="39" t="str">
        <f aca="true">IF($A562="","",IF(OR($I562="Completed",$I562="Cancelled"),0,$L562-TODAY()))</f>
        <v/>
      </c>
      <c r="Q562" s="3"/>
      <c r="S562" s="0" t="str">
        <f aca="false">IF($A562="","",IF(AND($O562&lt;0,$I562&lt;&gt;"Completed",$I562&lt;&gt;"Cancelled"),1,0))</f>
        <v/>
      </c>
      <c r="T562" s="0" t="str">
        <f aca="false">IF($A562="","",IF($I562="Completed",ROW(),""))</f>
        <v/>
      </c>
      <c r="U562" s="0" t="str">
        <f aca="false">IF($A562="","",IF(OR($I562="Not Started",$I562="Planning",$I562="Blocked"),ROW(),""))</f>
        <v/>
      </c>
    </row>
    <row r="563" customFormat="false" ht="15" hidden="false" customHeight="false" outlineLevel="0" collapsed="false">
      <c r="B563" s="3"/>
      <c r="F563" s="3"/>
      <c r="G563" s="3"/>
      <c r="H563" s="3"/>
      <c r="I563" s="3"/>
      <c r="J563" s="37" t="str">
        <f aca="false">IF($A563="","",IFERROR(INDEX(Lists!$B$2:$B$10,MATCH($I563,Lists!$A$2:$A$10,0)),""))</f>
        <v/>
      </c>
      <c r="N563" s="0" t="str">
        <f aca="false">IF($A563="","",$L563-$K563+1)</f>
        <v/>
      </c>
      <c r="O563" s="39" t="str">
        <f aca="true">IF($A563="","",IF(OR($I563="Completed",$I563="Cancelled"),0,$L563-TODAY()))</f>
        <v/>
      </c>
      <c r="Q563" s="3"/>
      <c r="S563" s="0" t="str">
        <f aca="false">IF($A563="","",IF(AND($O563&lt;0,$I563&lt;&gt;"Completed",$I563&lt;&gt;"Cancelled"),1,0))</f>
        <v/>
      </c>
      <c r="T563" s="0" t="str">
        <f aca="false">IF($A563="","",IF($I563="Completed",ROW(),""))</f>
        <v/>
      </c>
      <c r="U563" s="0" t="str">
        <f aca="false">IF($A563="","",IF(OR($I563="Not Started",$I563="Planning",$I563="Blocked"),ROW(),""))</f>
        <v/>
      </c>
    </row>
    <row r="564" customFormat="false" ht="15" hidden="false" customHeight="false" outlineLevel="0" collapsed="false">
      <c r="B564" s="3"/>
      <c r="F564" s="3"/>
      <c r="G564" s="3"/>
      <c r="H564" s="3"/>
      <c r="I564" s="3"/>
      <c r="J564" s="37" t="str">
        <f aca="false">IF($A564="","",IFERROR(INDEX(Lists!$B$2:$B$10,MATCH($I564,Lists!$A$2:$A$10,0)),""))</f>
        <v/>
      </c>
      <c r="N564" s="0" t="str">
        <f aca="false">IF($A564="","",$L564-$K564+1)</f>
        <v/>
      </c>
      <c r="O564" s="39" t="str">
        <f aca="true">IF($A564="","",IF(OR($I564="Completed",$I564="Cancelled"),0,$L564-TODAY()))</f>
        <v/>
      </c>
      <c r="Q564" s="3"/>
      <c r="S564" s="0" t="str">
        <f aca="false">IF($A564="","",IF(AND($O564&lt;0,$I564&lt;&gt;"Completed",$I564&lt;&gt;"Cancelled"),1,0))</f>
        <v/>
      </c>
      <c r="T564" s="0" t="str">
        <f aca="false">IF($A564="","",IF($I564="Completed",ROW(),""))</f>
        <v/>
      </c>
      <c r="U564" s="0" t="str">
        <f aca="false">IF($A564="","",IF(OR($I564="Not Started",$I564="Planning",$I564="Blocked"),ROW(),""))</f>
        <v/>
      </c>
    </row>
    <row r="565" customFormat="false" ht="15" hidden="false" customHeight="false" outlineLevel="0" collapsed="false">
      <c r="B565" s="3"/>
      <c r="F565" s="3"/>
      <c r="G565" s="3"/>
      <c r="H565" s="3"/>
      <c r="I565" s="3"/>
      <c r="J565" s="37" t="str">
        <f aca="false">IF($A565="","",IFERROR(INDEX(Lists!$B$2:$B$10,MATCH($I565,Lists!$A$2:$A$10,0)),""))</f>
        <v/>
      </c>
      <c r="N565" s="0" t="str">
        <f aca="false">IF($A565="","",$L565-$K565+1)</f>
        <v/>
      </c>
      <c r="O565" s="39" t="str">
        <f aca="true">IF($A565="","",IF(OR($I565="Completed",$I565="Cancelled"),0,$L565-TODAY()))</f>
        <v/>
      </c>
      <c r="Q565" s="3"/>
      <c r="S565" s="0" t="str">
        <f aca="false">IF($A565="","",IF(AND($O565&lt;0,$I565&lt;&gt;"Completed",$I565&lt;&gt;"Cancelled"),1,0))</f>
        <v/>
      </c>
      <c r="T565" s="0" t="str">
        <f aca="false">IF($A565="","",IF($I565="Completed",ROW(),""))</f>
        <v/>
      </c>
      <c r="U565" s="0" t="str">
        <f aca="false">IF($A565="","",IF(OR($I565="Not Started",$I565="Planning",$I565="Blocked"),ROW(),""))</f>
        <v/>
      </c>
    </row>
    <row r="566" customFormat="false" ht="15" hidden="false" customHeight="false" outlineLevel="0" collapsed="false">
      <c r="B566" s="3"/>
      <c r="F566" s="3"/>
      <c r="G566" s="3"/>
      <c r="H566" s="3"/>
      <c r="I566" s="3"/>
      <c r="J566" s="37" t="str">
        <f aca="false">IF($A566="","",IFERROR(INDEX(Lists!$B$2:$B$10,MATCH($I566,Lists!$A$2:$A$10,0)),""))</f>
        <v/>
      </c>
      <c r="N566" s="0" t="str">
        <f aca="false">IF($A566="","",$L566-$K566+1)</f>
        <v/>
      </c>
      <c r="O566" s="39" t="str">
        <f aca="true">IF($A566="","",IF(OR($I566="Completed",$I566="Cancelled"),0,$L566-TODAY()))</f>
        <v/>
      </c>
      <c r="Q566" s="3"/>
      <c r="S566" s="0" t="str">
        <f aca="false">IF($A566="","",IF(AND($O566&lt;0,$I566&lt;&gt;"Completed",$I566&lt;&gt;"Cancelled"),1,0))</f>
        <v/>
      </c>
      <c r="T566" s="0" t="str">
        <f aca="false">IF($A566="","",IF($I566="Completed",ROW(),""))</f>
        <v/>
      </c>
      <c r="U566" s="0" t="str">
        <f aca="false">IF($A566="","",IF(OR($I566="Not Started",$I566="Planning",$I566="Blocked"),ROW(),""))</f>
        <v/>
      </c>
    </row>
    <row r="567" customFormat="false" ht="15" hidden="false" customHeight="false" outlineLevel="0" collapsed="false">
      <c r="B567" s="3"/>
      <c r="F567" s="3"/>
      <c r="G567" s="3"/>
      <c r="H567" s="3"/>
      <c r="I567" s="3"/>
      <c r="J567" s="37" t="str">
        <f aca="false">IF($A567="","",IFERROR(INDEX(Lists!$B$2:$B$10,MATCH($I567,Lists!$A$2:$A$10,0)),""))</f>
        <v/>
      </c>
      <c r="N567" s="0" t="str">
        <f aca="false">IF($A567="","",$L567-$K567+1)</f>
        <v/>
      </c>
      <c r="O567" s="39" t="str">
        <f aca="true">IF($A567="","",IF(OR($I567="Completed",$I567="Cancelled"),0,$L567-TODAY()))</f>
        <v/>
      </c>
      <c r="Q567" s="3"/>
      <c r="S567" s="0" t="str">
        <f aca="false">IF($A567="","",IF(AND($O567&lt;0,$I567&lt;&gt;"Completed",$I567&lt;&gt;"Cancelled"),1,0))</f>
        <v/>
      </c>
      <c r="T567" s="0" t="str">
        <f aca="false">IF($A567="","",IF($I567="Completed",ROW(),""))</f>
        <v/>
      </c>
      <c r="U567" s="0" t="str">
        <f aca="false">IF($A567="","",IF(OR($I567="Not Started",$I567="Planning",$I567="Blocked"),ROW(),""))</f>
        <v/>
      </c>
    </row>
    <row r="568" customFormat="false" ht="15" hidden="false" customHeight="false" outlineLevel="0" collapsed="false">
      <c r="B568" s="3"/>
      <c r="F568" s="3"/>
      <c r="G568" s="3"/>
      <c r="H568" s="3"/>
      <c r="I568" s="3"/>
      <c r="J568" s="37" t="str">
        <f aca="false">IF($A568="","",IFERROR(INDEX(Lists!$B$2:$B$10,MATCH($I568,Lists!$A$2:$A$10,0)),""))</f>
        <v/>
      </c>
      <c r="N568" s="0" t="str">
        <f aca="false">IF($A568="","",$L568-$K568+1)</f>
        <v/>
      </c>
      <c r="O568" s="39" t="str">
        <f aca="true">IF($A568="","",IF(OR($I568="Completed",$I568="Cancelled"),0,$L568-TODAY()))</f>
        <v/>
      </c>
      <c r="Q568" s="3"/>
      <c r="S568" s="0" t="str">
        <f aca="false">IF($A568="","",IF(AND($O568&lt;0,$I568&lt;&gt;"Completed",$I568&lt;&gt;"Cancelled"),1,0))</f>
        <v/>
      </c>
      <c r="T568" s="0" t="str">
        <f aca="false">IF($A568="","",IF($I568="Completed",ROW(),""))</f>
        <v/>
      </c>
      <c r="U568" s="0" t="str">
        <f aca="false">IF($A568="","",IF(OR($I568="Not Started",$I568="Planning",$I568="Blocked"),ROW(),""))</f>
        <v/>
      </c>
    </row>
    <row r="569" customFormat="false" ht="15" hidden="false" customHeight="false" outlineLevel="0" collapsed="false">
      <c r="B569" s="3"/>
      <c r="F569" s="3"/>
      <c r="G569" s="3"/>
      <c r="H569" s="3"/>
      <c r="I569" s="3"/>
      <c r="J569" s="37" t="str">
        <f aca="false">IF($A569="","",IFERROR(INDEX(Lists!$B$2:$B$10,MATCH($I569,Lists!$A$2:$A$10,0)),""))</f>
        <v/>
      </c>
      <c r="N569" s="0" t="str">
        <f aca="false">IF($A569="","",$L569-$K569+1)</f>
        <v/>
      </c>
      <c r="O569" s="39" t="str">
        <f aca="true">IF($A569="","",IF(OR($I569="Completed",$I569="Cancelled"),0,$L569-TODAY()))</f>
        <v/>
      </c>
      <c r="Q569" s="3"/>
      <c r="S569" s="0" t="str">
        <f aca="false">IF($A569="","",IF(AND($O569&lt;0,$I569&lt;&gt;"Completed",$I569&lt;&gt;"Cancelled"),1,0))</f>
        <v/>
      </c>
      <c r="T569" s="0" t="str">
        <f aca="false">IF($A569="","",IF($I569="Completed",ROW(),""))</f>
        <v/>
      </c>
      <c r="U569" s="0" t="str">
        <f aca="false">IF($A569="","",IF(OR($I569="Not Started",$I569="Planning",$I569="Blocked"),ROW(),""))</f>
        <v/>
      </c>
    </row>
    <row r="570" customFormat="false" ht="15" hidden="false" customHeight="false" outlineLevel="0" collapsed="false">
      <c r="B570" s="3"/>
      <c r="F570" s="3"/>
      <c r="G570" s="3"/>
      <c r="H570" s="3"/>
      <c r="I570" s="3"/>
      <c r="J570" s="37" t="str">
        <f aca="false">IF($A570="","",IFERROR(INDEX(Lists!$B$2:$B$10,MATCH($I570,Lists!$A$2:$A$10,0)),""))</f>
        <v/>
      </c>
      <c r="N570" s="0" t="str">
        <f aca="false">IF($A570="","",$L570-$K570+1)</f>
        <v/>
      </c>
      <c r="O570" s="39" t="str">
        <f aca="true">IF($A570="","",IF(OR($I570="Completed",$I570="Cancelled"),0,$L570-TODAY()))</f>
        <v/>
      </c>
      <c r="Q570" s="3"/>
      <c r="S570" s="0" t="str">
        <f aca="false">IF($A570="","",IF(AND($O570&lt;0,$I570&lt;&gt;"Completed",$I570&lt;&gt;"Cancelled"),1,0))</f>
        <v/>
      </c>
      <c r="T570" s="0" t="str">
        <f aca="false">IF($A570="","",IF($I570="Completed",ROW(),""))</f>
        <v/>
      </c>
      <c r="U570" s="0" t="str">
        <f aca="false">IF($A570="","",IF(OR($I570="Not Started",$I570="Planning",$I570="Blocked"),ROW(),""))</f>
        <v/>
      </c>
    </row>
    <row r="571" customFormat="false" ht="15" hidden="false" customHeight="false" outlineLevel="0" collapsed="false">
      <c r="B571" s="3"/>
      <c r="F571" s="3"/>
      <c r="G571" s="3"/>
      <c r="H571" s="3"/>
      <c r="I571" s="3"/>
      <c r="J571" s="37" t="str">
        <f aca="false">IF($A571="","",IFERROR(INDEX(Lists!$B$2:$B$10,MATCH($I571,Lists!$A$2:$A$10,0)),""))</f>
        <v/>
      </c>
      <c r="N571" s="0" t="str">
        <f aca="false">IF($A571="","",$L571-$K571+1)</f>
        <v/>
      </c>
      <c r="O571" s="39" t="str">
        <f aca="true">IF($A571="","",IF(OR($I571="Completed",$I571="Cancelled"),0,$L571-TODAY()))</f>
        <v/>
      </c>
      <c r="Q571" s="3"/>
      <c r="S571" s="0" t="str">
        <f aca="false">IF($A571="","",IF(AND($O571&lt;0,$I571&lt;&gt;"Completed",$I571&lt;&gt;"Cancelled"),1,0))</f>
        <v/>
      </c>
      <c r="T571" s="0" t="str">
        <f aca="false">IF($A571="","",IF($I571="Completed",ROW(),""))</f>
        <v/>
      </c>
      <c r="U571" s="0" t="str">
        <f aca="false">IF($A571="","",IF(OR($I571="Not Started",$I571="Planning",$I571="Blocked"),ROW(),""))</f>
        <v/>
      </c>
    </row>
    <row r="572" customFormat="false" ht="15" hidden="false" customHeight="false" outlineLevel="0" collapsed="false">
      <c r="B572" s="3"/>
      <c r="F572" s="3"/>
      <c r="G572" s="3"/>
      <c r="H572" s="3"/>
      <c r="I572" s="3"/>
      <c r="J572" s="37" t="str">
        <f aca="false">IF($A572="","",IFERROR(INDEX(Lists!$B$2:$B$10,MATCH($I572,Lists!$A$2:$A$10,0)),""))</f>
        <v/>
      </c>
      <c r="N572" s="0" t="str">
        <f aca="false">IF($A572="","",$L572-$K572+1)</f>
        <v/>
      </c>
      <c r="O572" s="39" t="str">
        <f aca="true">IF($A572="","",IF(OR($I572="Completed",$I572="Cancelled"),0,$L572-TODAY()))</f>
        <v/>
      </c>
      <c r="Q572" s="3"/>
      <c r="S572" s="0" t="str">
        <f aca="false">IF($A572="","",IF(AND($O572&lt;0,$I572&lt;&gt;"Completed",$I572&lt;&gt;"Cancelled"),1,0))</f>
        <v/>
      </c>
      <c r="T572" s="0" t="str">
        <f aca="false">IF($A572="","",IF($I572="Completed",ROW(),""))</f>
        <v/>
      </c>
      <c r="U572" s="0" t="str">
        <f aca="false">IF($A572="","",IF(OR($I572="Not Started",$I572="Planning",$I572="Blocked"),ROW(),""))</f>
        <v/>
      </c>
    </row>
    <row r="573" customFormat="false" ht="15" hidden="false" customHeight="false" outlineLevel="0" collapsed="false">
      <c r="B573" s="3"/>
      <c r="F573" s="3"/>
      <c r="G573" s="3"/>
      <c r="H573" s="3"/>
      <c r="I573" s="3"/>
      <c r="J573" s="37" t="str">
        <f aca="false">IF($A573="","",IFERROR(INDEX(Lists!$B$2:$B$10,MATCH($I573,Lists!$A$2:$A$10,0)),""))</f>
        <v/>
      </c>
      <c r="N573" s="0" t="str">
        <f aca="false">IF($A573="","",$L573-$K573+1)</f>
        <v/>
      </c>
      <c r="O573" s="39" t="str">
        <f aca="true">IF($A573="","",IF(OR($I573="Completed",$I573="Cancelled"),0,$L573-TODAY()))</f>
        <v/>
      </c>
      <c r="Q573" s="3"/>
      <c r="S573" s="0" t="str">
        <f aca="false">IF($A573="","",IF(AND($O573&lt;0,$I573&lt;&gt;"Completed",$I573&lt;&gt;"Cancelled"),1,0))</f>
        <v/>
      </c>
      <c r="T573" s="0" t="str">
        <f aca="false">IF($A573="","",IF($I573="Completed",ROW(),""))</f>
        <v/>
      </c>
      <c r="U573" s="0" t="str">
        <f aca="false">IF($A573="","",IF(OR($I573="Not Started",$I573="Planning",$I573="Blocked"),ROW(),""))</f>
        <v/>
      </c>
    </row>
    <row r="574" customFormat="false" ht="15" hidden="false" customHeight="false" outlineLevel="0" collapsed="false">
      <c r="B574" s="3"/>
      <c r="F574" s="3"/>
      <c r="G574" s="3"/>
      <c r="H574" s="3"/>
      <c r="I574" s="3"/>
      <c r="J574" s="37" t="str">
        <f aca="false">IF($A574="","",IFERROR(INDEX(Lists!$B$2:$B$10,MATCH($I574,Lists!$A$2:$A$10,0)),""))</f>
        <v/>
      </c>
      <c r="N574" s="0" t="str">
        <f aca="false">IF($A574="","",$L574-$K574+1)</f>
        <v/>
      </c>
      <c r="O574" s="39" t="str">
        <f aca="true">IF($A574="","",IF(OR($I574="Completed",$I574="Cancelled"),0,$L574-TODAY()))</f>
        <v/>
      </c>
      <c r="Q574" s="3"/>
      <c r="S574" s="0" t="str">
        <f aca="false">IF($A574="","",IF(AND($O574&lt;0,$I574&lt;&gt;"Completed",$I574&lt;&gt;"Cancelled"),1,0))</f>
        <v/>
      </c>
      <c r="T574" s="0" t="str">
        <f aca="false">IF($A574="","",IF($I574="Completed",ROW(),""))</f>
        <v/>
      </c>
      <c r="U574" s="0" t="str">
        <f aca="false">IF($A574="","",IF(OR($I574="Not Started",$I574="Planning",$I574="Blocked"),ROW(),""))</f>
        <v/>
      </c>
    </row>
    <row r="575" customFormat="false" ht="15" hidden="false" customHeight="false" outlineLevel="0" collapsed="false">
      <c r="B575" s="3"/>
      <c r="F575" s="3"/>
      <c r="G575" s="3"/>
      <c r="H575" s="3"/>
      <c r="I575" s="3"/>
      <c r="J575" s="37" t="str">
        <f aca="false">IF($A575="","",IFERROR(INDEX(Lists!$B$2:$B$10,MATCH($I575,Lists!$A$2:$A$10,0)),""))</f>
        <v/>
      </c>
      <c r="N575" s="0" t="str">
        <f aca="false">IF($A575="","",$L575-$K575+1)</f>
        <v/>
      </c>
      <c r="O575" s="39" t="str">
        <f aca="true">IF($A575="","",IF(OR($I575="Completed",$I575="Cancelled"),0,$L575-TODAY()))</f>
        <v/>
      </c>
      <c r="Q575" s="3"/>
      <c r="S575" s="0" t="str">
        <f aca="false">IF($A575="","",IF(AND($O575&lt;0,$I575&lt;&gt;"Completed",$I575&lt;&gt;"Cancelled"),1,0))</f>
        <v/>
      </c>
      <c r="T575" s="0" t="str">
        <f aca="false">IF($A575="","",IF($I575="Completed",ROW(),""))</f>
        <v/>
      </c>
      <c r="U575" s="0" t="str">
        <f aca="false">IF($A575="","",IF(OR($I575="Not Started",$I575="Planning",$I575="Blocked"),ROW(),""))</f>
        <v/>
      </c>
    </row>
    <row r="576" customFormat="false" ht="15" hidden="false" customHeight="false" outlineLevel="0" collapsed="false">
      <c r="B576" s="3"/>
      <c r="F576" s="3"/>
      <c r="G576" s="3"/>
      <c r="H576" s="3"/>
      <c r="I576" s="3"/>
      <c r="J576" s="37" t="str">
        <f aca="false">IF($A576="","",IFERROR(INDEX(Lists!$B$2:$B$10,MATCH($I576,Lists!$A$2:$A$10,0)),""))</f>
        <v/>
      </c>
      <c r="N576" s="0" t="str">
        <f aca="false">IF($A576="","",$L576-$K576+1)</f>
        <v/>
      </c>
      <c r="O576" s="39" t="str">
        <f aca="true">IF($A576="","",IF(OR($I576="Completed",$I576="Cancelled"),0,$L576-TODAY()))</f>
        <v/>
      </c>
      <c r="Q576" s="3"/>
      <c r="S576" s="0" t="str">
        <f aca="false">IF($A576="","",IF(AND($O576&lt;0,$I576&lt;&gt;"Completed",$I576&lt;&gt;"Cancelled"),1,0))</f>
        <v/>
      </c>
      <c r="T576" s="0" t="str">
        <f aca="false">IF($A576="","",IF($I576="Completed",ROW(),""))</f>
        <v/>
      </c>
      <c r="U576" s="0" t="str">
        <f aca="false">IF($A576="","",IF(OR($I576="Not Started",$I576="Planning",$I576="Blocked"),ROW(),""))</f>
        <v/>
      </c>
    </row>
    <row r="577" customFormat="false" ht="15" hidden="false" customHeight="false" outlineLevel="0" collapsed="false">
      <c r="B577" s="3"/>
      <c r="F577" s="3"/>
      <c r="G577" s="3"/>
      <c r="H577" s="3"/>
      <c r="I577" s="3"/>
      <c r="J577" s="37" t="str">
        <f aca="false">IF($A577="","",IFERROR(INDEX(Lists!$B$2:$B$10,MATCH($I577,Lists!$A$2:$A$10,0)),""))</f>
        <v/>
      </c>
      <c r="N577" s="0" t="str">
        <f aca="false">IF($A577="","",$L577-$K577+1)</f>
        <v/>
      </c>
      <c r="O577" s="39" t="str">
        <f aca="true">IF($A577="","",IF(OR($I577="Completed",$I577="Cancelled"),0,$L577-TODAY()))</f>
        <v/>
      </c>
      <c r="Q577" s="3"/>
      <c r="S577" s="0" t="str">
        <f aca="false">IF($A577="","",IF(AND($O577&lt;0,$I577&lt;&gt;"Completed",$I577&lt;&gt;"Cancelled"),1,0))</f>
        <v/>
      </c>
      <c r="T577" s="0" t="str">
        <f aca="false">IF($A577="","",IF($I577="Completed",ROW(),""))</f>
        <v/>
      </c>
      <c r="U577" s="0" t="str">
        <f aca="false">IF($A577="","",IF(OR($I577="Not Started",$I577="Planning",$I577="Blocked"),ROW(),""))</f>
        <v/>
      </c>
    </row>
    <row r="578" customFormat="false" ht="15" hidden="false" customHeight="false" outlineLevel="0" collapsed="false">
      <c r="B578" s="3"/>
      <c r="F578" s="3"/>
      <c r="G578" s="3"/>
      <c r="H578" s="3"/>
      <c r="I578" s="3"/>
      <c r="J578" s="37" t="str">
        <f aca="false">IF($A578="","",IFERROR(INDEX(Lists!$B$2:$B$10,MATCH($I578,Lists!$A$2:$A$10,0)),""))</f>
        <v/>
      </c>
      <c r="N578" s="0" t="str">
        <f aca="false">IF($A578="","",$L578-$K578+1)</f>
        <v/>
      </c>
      <c r="O578" s="39" t="str">
        <f aca="true">IF($A578="","",IF(OR($I578="Completed",$I578="Cancelled"),0,$L578-TODAY()))</f>
        <v/>
      </c>
      <c r="Q578" s="3"/>
      <c r="S578" s="0" t="str">
        <f aca="false">IF($A578="","",IF(AND($O578&lt;0,$I578&lt;&gt;"Completed",$I578&lt;&gt;"Cancelled"),1,0))</f>
        <v/>
      </c>
      <c r="T578" s="0" t="str">
        <f aca="false">IF($A578="","",IF($I578="Completed",ROW(),""))</f>
        <v/>
      </c>
      <c r="U578" s="0" t="str">
        <f aca="false">IF($A578="","",IF(OR($I578="Not Started",$I578="Planning",$I578="Blocked"),ROW(),""))</f>
        <v/>
      </c>
    </row>
    <row r="579" customFormat="false" ht="15" hidden="false" customHeight="false" outlineLevel="0" collapsed="false">
      <c r="B579" s="3"/>
      <c r="F579" s="3"/>
      <c r="G579" s="3"/>
      <c r="H579" s="3"/>
      <c r="I579" s="3"/>
      <c r="J579" s="37" t="str">
        <f aca="false">IF($A579="","",IFERROR(INDEX(Lists!$B$2:$B$10,MATCH($I579,Lists!$A$2:$A$10,0)),""))</f>
        <v/>
      </c>
      <c r="N579" s="0" t="str">
        <f aca="false">IF($A579="","",$L579-$K579+1)</f>
        <v/>
      </c>
      <c r="O579" s="39" t="str">
        <f aca="true">IF($A579="","",IF(OR($I579="Completed",$I579="Cancelled"),0,$L579-TODAY()))</f>
        <v/>
      </c>
      <c r="Q579" s="3"/>
      <c r="S579" s="0" t="str">
        <f aca="false">IF($A579="","",IF(AND($O579&lt;0,$I579&lt;&gt;"Completed",$I579&lt;&gt;"Cancelled"),1,0))</f>
        <v/>
      </c>
      <c r="T579" s="0" t="str">
        <f aca="false">IF($A579="","",IF($I579="Completed",ROW(),""))</f>
        <v/>
      </c>
      <c r="U579" s="0" t="str">
        <f aca="false">IF($A579="","",IF(OR($I579="Not Started",$I579="Planning",$I579="Blocked"),ROW(),""))</f>
        <v/>
      </c>
    </row>
    <row r="580" customFormat="false" ht="15" hidden="false" customHeight="false" outlineLevel="0" collapsed="false">
      <c r="B580" s="3"/>
      <c r="F580" s="3"/>
      <c r="G580" s="3"/>
      <c r="H580" s="3"/>
      <c r="I580" s="3"/>
      <c r="J580" s="37" t="str">
        <f aca="false">IF($A580="","",IFERROR(INDEX(Lists!$B$2:$B$10,MATCH($I580,Lists!$A$2:$A$10,0)),""))</f>
        <v/>
      </c>
      <c r="N580" s="0" t="str">
        <f aca="false">IF($A580="","",$L580-$K580+1)</f>
        <v/>
      </c>
      <c r="O580" s="39" t="str">
        <f aca="true">IF($A580="","",IF(OR($I580="Completed",$I580="Cancelled"),0,$L580-TODAY()))</f>
        <v/>
      </c>
      <c r="Q580" s="3"/>
      <c r="S580" s="0" t="str">
        <f aca="false">IF($A580="","",IF(AND($O580&lt;0,$I580&lt;&gt;"Completed",$I580&lt;&gt;"Cancelled"),1,0))</f>
        <v/>
      </c>
      <c r="T580" s="0" t="str">
        <f aca="false">IF($A580="","",IF($I580="Completed",ROW(),""))</f>
        <v/>
      </c>
      <c r="U580" s="0" t="str">
        <f aca="false">IF($A580="","",IF(OR($I580="Not Started",$I580="Planning",$I580="Blocked"),ROW(),""))</f>
        <v/>
      </c>
    </row>
    <row r="581" customFormat="false" ht="15" hidden="false" customHeight="false" outlineLevel="0" collapsed="false">
      <c r="B581" s="3"/>
      <c r="F581" s="3"/>
      <c r="G581" s="3"/>
      <c r="H581" s="3"/>
      <c r="I581" s="3"/>
      <c r="J581" s="37" t="str">
        <f aca="false">IF($A581="","",IFERROR(INDEX(Lists!$B$2:$B$10,MATCH($I581,Lists!$A$2:$A$10,0)),""))</f>
        <v/>
      </c>
      <c r="N581" s="0" t="str">
        <f aca="false">IF($A581="","",$L581-$K581+1)</f>
        <v/>
      </c>
      <c r="O581" s="39" t="str">
        <f aca="true">IF($A581="","",IF(OR($I581="Completed",$I581="Cancelled"),0,$L581-TODAY()))</f>
        <v/>
      </c>
      <c r="Q581" s="3"/>
      <c r="S581" s="0" t="str">
        <f aca="false">IF($A581="","",IF(AND($O581&lt;0,$I581&lt;&gt;"Completed",$I581&lt;&gt;"Cancelled"),1,0))</f>
        <v/>
      </c>
      <c r="T581" s="0" t="str">
        <f aca="false">IF($A581="","",IF($I581="Completed",ROW(),""))</f>
        <v/>
      </c>
      <c r="U581" s="0" t="str">
        <f aca="false">IF($A581="","",IF(OR($I581="Not Started",$I581="Planning",$I581="Blocked"),ROW(),""))</f>
        <v/>
      </c>
    </row>
    <row r="582" customFormat="false" ht="15" hidden="false" customHeight="false" outlineLevel="0" collapsed="false">
      <c r="B582" s="3"/>
      <c r="F582" s="3"/>
      <c r="G582" s="3"/>
      <c r="H582" s="3"/>
      <c r="I582" s="3"/>
      <c r="J582" s="37" t="str">
        <f aca="false">IF($A582="","",IFERROR(INDEX(Lists!$B$2:$B$10,MATCH($I582,Lists!$A$2:$A$10,0)),""))</f>
        <v/>
      </c>
      <c r="N582" s="0" t="str">
        <f aca="false">IF($A582="","",$L582-$K582+1)</f>
        <v/>
      </c>
      <c r="O582" s="39" t="str">
        <f aca="true">IF($A582="","",IF(OR($I582="Completed",$I582="Cancelled"),0,$L582-TODAY()))</f>
        <v/>
      </c>
      <c r="Q582" s="3"/>
      <c r="S582" s="0" t="str">
        <f aca="false">IF($A582="","",IF(AND($O582&lt;0,$I582&lt;&gt;"Completed",$I582&lt;&gt;"Cancelled"),1,0))</f>
        <v/>
      </c>
      <c r="T582" s="0" t="str">
        <f aca="false">IF($A582="","",IF($I582="Completed",ROW(),""))</f>
        <v/>
      </c>
      <c r="U582" s="0" t="str">
        <f aca="false">IF($A582="","",IF(OR($I582="Not Started",$I582="Planning",$I582="Blocked"),ROW(),""))</f>
        <v/>
      </c>
    </row>
    <row r="583" customFormat="false" ht="15" hidden="false" customHeight="false" outlineLevel="0" collapsed="false">
      <c r="B583" s="3"/>
      <c r="F583" s="3"/>
      <c r="G583" s="3"/>
      <c r="H583" s="3"/>
      <c r="I583" s="3"/>
      <c r="J583" s="37" t="str">
        <f aca="false">IF($A583="","",IFERROR(INDEX(Lists!$B$2:$B$10,MATCH($I583,Lists!$A$2:$A$10,0)),""))</f>
        <v/>
      </c>
      <c r="N583" s="0" t="str">
        <f aca="false">IF($A583="","",$L583-$K583+1)</f>
        <v/>
      </c>
      <c r="O583" s="39" t="str">
        <f aca="true">IF($A583="","",IF(OR($I583="Completed",$I583="Cancelled"),0,$L583-TODAY()))</f>
        <v/>
      </c>
      <c r="Q583" s="3"/>
      <c r="S583" s="0" t="str">
        <f aca="false">IF($A583="","",IF(AND($O583&lt;0,$I583&lt;&gt;"Completed",$I583&lt;&gt;"Cancelled"),1,0))</f>
        <v/>
      </c>
      <c r="T583" s="0" t="str">
        <f aca="false">IF($A583="","",IF($I583="Completed",ROW(),""))</f>
        <v/>
      </c>
      <c r="U583" s="0" t="str">
        <f aca="false">IF($A583="","",IF(OR($I583="Not Started",$I583="Planning",$I583="Blocked"),ROW(),""))</f>
        <v/>
      </c>
    </row>
    <row r="584" customFormat="false" ht="15" hidden="false" customHeight="false" outlineLevel="0" collapsed="false">
      <c r="B584" s="3"/>
      <c r="F584" s="3"/>
      <c r="G584" s="3"/>
      <c r="H584" s="3"/>
      <c r="I584" s="3"/>
      <c r="J584" s="37" t="str">
        <f aca="false">IF($A584="","",IFERROR(INDEX(Lists!$B$2:$B$10,MATCH($I584,Lists!$A$2:$A$10,0)),""))</f>
        <v/>
      </c>
      <c r="N584" s="0" t="str">
        <f aca="false">IF($A584="","",$L584-$K584+1)</f>
        <v/>
      </c>
      <c r="O584" s="39" t="str">
        <f aca="true">IF($A584="","",IF(OR($I584="Completed",$I584="Cancelled"),0,$L584-TODAY()))</f>
        <v/>
      </c>
      <c r="Q584" s="3"/>
      <c r="S584" s="0" t="str">
        <f aca="false">IF($A584="","",IF(AND($O584&lt;0,$I584&lt;&gt;"Completed",$I584&lt;&gt;"Cancelled"),1,0))</f>
        <v/>
      </c>
      <c r="T584" s="0" t="str">
        <f aca="false">IF($A584="","",IF($I584="Completed",ROW(),""))</f>
        <v/>
      </c>
      <c r="U584" s="0" t="str">
        <f aca="false">IF($A584="","",IF(OR($I584="Not Started",$I584="Planning",$I584="Blocked"),ROW(),""))</f>
        <v/>
      </c>
    </row>
    <row r="585" customFormat="false" ht="15" hidden="false" customHeight="false" outlineLevel="0" collapsed="false">
      <c r="B585" s="3"/>
      <c r="F585" s="3"/>
      <c r="G585" s="3"/>
      <c r="H585" s="3"/>
      <c r="I585" s="3"/>
      <c r="J585" s="37" t="str">
        <f aca="false">IF($A585="","",IFERROR(INDEX(Lists!$B$2:$B$10,MATCH($I585,Lists!$A$2:$A$10,0)),""))</f>
        <v/>
      </c>
      <c r="N585" s="0" t="str">
        <f aca="false">IF($A585="","",$L585-$K585+1)</f>
        <v/>
      </c>
      <c r="O585" s="39" t="str">
        <f aca="true">IF($A585="","",IF(OR($I585="Completed",$I585="Cancelled"),0,$L585-TODAY()))</f>
        <v/>
      </c>
      <c r="Q585" s="3"/>
      <c r="S585" s="0" t="str">
        <f aca="false">IF($A585="","",IF(AND($O585&lt;0,$I585&lt;&gt;"Completed",$I585&lt;&gt;"Cancelled"),1,0))</f>
        <v/>
      </c>
      <c r="T585" s="0" t="str">
        <f aca="false">IF($A585="","",IF($I585="Completed",ROW(),""))</f>
        <v/>
      </c>
      <c r="U585" s="0" t="str">
        <f aca="false">IF($A585="","",IF(OR($I585="Not Started",$I585="Planning",$I585="Blocked"),ROW(),""))</f>
        <v/>
      </c>
    </row>
    <row r="586" customFormat="false" ht="15" hidden="false" customHeight="false" outlineLevel="0" collapsed="false">
      <c r="B586" s="3"/>
      <c r="F586" s="3"/>
      <c r="G586" s="3"/>
      <c r="H586" s="3"/>
      <c r="I586" s="3"/>
      <c r="J586" s="37" t="str">
        <f aca="false">IF($A586="","",IFERROR(INDEX(Lists!$B$2:$B$10,MATCH($I586,Lists!$A$2:$A$10,0)),""))</f>
        <v/>
      </c>
      <c r="N586" s="0" t="str">
        <f aca="false">IF($A586="","",$L586-$K586+1)</f>
        <v/>
      </c>
      <c r="O586" s="39" t="str">
        <f aca="true">IF($A586="","",IF(OR($I586="Completed",$I586="Cancelled"),0,$L586-TODAY()))</f>
        <v/>
      </c>
      <c r="Q586" s="3"/>
      <c r="S586" s="0" t="str">
        <f aca="false">IF($A586="","",IF(AND($O586&lt;0,$I586&lt;&gt;"Completed",$I586&lt;&gt;"Cancelled"),1,0))</f>
        <v/>
      </c>
      <c r="T586" s="0" t="str">
        <f aca="false">IF($A586="","",IF($I586="Completed",ROW(),""))</f>
        <v/>
      </c>
      <c r="U586" s="0" t="str">
        <f aca="false">IF($A586="","",IF(OR($I586="Not Started",$I586="Planning",$I586="Blocked"),ROW(),""))</f>
        <v/>
      </c>
    </row>
    <row r="587" customFormat="false" ht="15" hidden="false" customHeight="false" outlineLevel="0" collapsed="false">
      <c r="B587" s="3"/>
      <c r="F587" s="3"/>
      <c r="G587" s="3"/>
      <c r="H587" s="3"/>
      <c r="I587" s="3"/>
      <c r="J587" s="37" t="str">
        <f aca="false">IF($A587="","",IFERROR(INDEX(Lists!$B$2:$B$10,MATCH($I587,Lists!$A$2:$A$10,0)),""))</f>
        <v/>
      </c>
      <c r="N587" s="0" t="str">
        <f aca="false">IF($A587="","",$L587-$K587+1)</f>
        <v/>
      </c>
      <c r="O587" s="39" t="str">
        <f aca="true">IF($A587="","",IF(OR($I587="Completed",$I587="Cancelled"),0,$L587-TODAY()))</f>
        <v/>
      </c>
      <c r="Q587" s="3"/>
      <c r="S587" s="0" t="str">
        <f aca="false">IF($A587="","",IF(AND($O587&lt;0,$I587&lt;&gt;"Completed",$I587&lt;&gt;"Cancelled"),1,0))</f>
        <v/>
      </c>
      <c r="T587" s="0" t="str">
        <f aca="false">IF($A587="","",IF($I587="Completed",ROW(),""))</f>
        <v/>
      </c>
      <c r="U587" s="0" t="str">
        <f aca="false">IF($A587="","",IF(OR($I587="Not Started",$I587="Planning",$I587="Blocked"),ROW(),""))</f>
        <v/>
      </c>
    </row>
    <row r="588" customFormat="false" ht="15" hidden="false" customHeight="false" outlineLevel="0" collapsed="false">
      <c r="B588" s="3"/>
      <c r="F588" s="3"/>
      <c r="G588" s="3"/>
      <c r="H588" s="3"/>
      <c r="I588" s="3"/>
      <c r="J588" s="37" t="str">
        <f aca="false">IF($A588="","",IFERROR(INDEX(Lists!$B$2:$B$10,MATCH($I588,Lists!$A$2:$A$10,0)),""))</f>
        <v/>
      </c>
      <c r="N588" s="0" t="str">
        <f aca="false">IF($A588="","",$L588-$K588+1)</f>
        <v/>
      </c>
      <c r="O588" s="39" t="str">
        <f aca="true">IF($A588="","",IF(OR($I588="Completed",$I588="Cancelled"),0,$L588-TODAY()))</f>
        <v/>
      </c>
      <c r="Q588" s="3"/>
      <c r="S588" s="0" t="str">
        <f aca="false">IF($A588="","",IF(AND($O588&lt;0,$I588&lt;&gt;"Completed",$I588&lt;&gt;"Cancelled"),1,0))</f>
        <v/>
      </c>
      <c r="T588" s="0" t="str">
        <f aca="false">IF($A588="","",IF($I588="Completed",ROW(),""))</f>
        <v/>
      </c>
      <c r="U588" s="0" t="str">
        <f aca="false">IF($A588="","",IF(OR($I588="Not Started",$I588="Planning",$I588="Blocked"),ROW(),""))</f>
        <v/>
      </c>
    </row>
    <row r="589" customFormat="false" ht="15" hidden="false" customHeight="false" outlineLevel="0" collapsed="false">
      <c r="B589" s="3"/>
      <c r="F589" s="3"/>
      <c r="G589" s="3"/>
      <c r="H589" s="3"/>
      <c r="I589" s="3"/>
      <c r="J589" s="37" t="str">
        <f aca="false">IF($A589="","",IFERROR(INDEX(Lists!$B$2:$B$10,MATCH($I589,Lists!$A$2:$A$10,0)),""))</f>
        <v/>
      </c>
      <c r="N589" s="0" t="str">
        <f aca="false">IF($A589="","",$L589-$K589+1)</f>
        <v/>
      </c>
      <c r="O589" s="39" t="str">
        <f aca="true">IF($A589="","",IF(OR($I589="Completed",$I589="Cancelled"),0,$L589-TODAY()))</f>
        <v/>
      </c>
      <c r="Q589" s="3"/>
      <c r="S589" s="0" t="str">
        <f aca="false">IF($A589="","",IF(AND($O589&lt;0,$I589&lt;&gt;"Completed",$I589&lt;&gt;"Cancelled"),1,0))</f>
        <v/>
      </c>
      <c r="T589" s="0" t="str">
        <f aca="false">IF($A589="","",IF($I589="Completed",ROW(),""))</f>
        <v/>
      </c>
      <c r="U589" s="0" t="str">
        <f aca="false">IF($A589="","",IF(OR($I589="Not Started",$I589="Planning",$I589="Blocked"),ROW(),""))</f>
        <v/>
      </c>
    </row>
    <row r="590" customFormat="false" ht="15" hidden="false" customHeight="false" outlineLevel="0" collapsed="false">
      <c r="B590" s="3"/>
      <c r="F590" s="3"/>
      <c r="G590" s="3"/>
      <c r="H590" s="3"/>
      <c r="I590" s="3"/>
      <c r="J590" s="37" t="str">
        <f aca="false">IF($A590="","",IFERROR(INDEX(Lists!$B$2:$B$10,MATCH($I590,Lists!$A$2:$A$10,0)),""))</f>
        <v/>
      </c>
      <c r="N590" s="0" t="str">
        <f aca="false">IF($A590="","",$L590-$K590+1)</f>
        <v/>
      </c>
      <c r="O590" s="39" t="str">
        <f aca="true">IF($A590="","",IF(OR($I590="Completed",$I590="Cancelled"),0,$L590-TODAY()))</f>
        <v/>
      </c>
      <c r="Q590" s="3"/>
      <c r="S590" s="0" t="str">
        <f aca="false">IF($A590="","",IF(AND($O590&lt;0,$I590&lt;&gt;"Completed",$I590&lt;&gt;"Cancelled"),1,0))</f>
        <v/>
      </c>
      <c r="T590" s="0" t="str">
        <f aca="false">IF($A590="","",IF($I590="Completed",ROW(),""))</f>
        <v/>
      </c>
      <c r="U590" s="0" t="str">
        <f aca="false">IF($A590="","",IF(OR($I590="Not Started",$I590="Planning",$I590="Blocked"),ROW(),""))</f>
        <v/>
      </c>
    </row>
    <row r="591" customFormat="false" ht="15" hidden="false" customHeight="false" outlineLevel="0" collapsed="false">
      <c r="B591" s="3"/>
      <c r="F591" s="3"/>
      <c r="G591" s="3"/>
      <c r="H591" s="3"/>
      <c r="I591" s="3"/>
      <c r="J591" s="37" t="str">
        <f aca="false">IF($A591="","",IFERROR(INDEX(Lists!$B$2:$B$10,MATCH($I591,Lists!$A$2:$A$10,0)),""))</f>
        <v/>
      </c>
      <c r="N591" s="0" t="str">
        <f aca="false">IF($A591="","",$L591-$K591+1)</f>
        <v/>
      </c>
      <c r="O591" s="39" t="str">
        <f aca="true">IF($A591="","",IF(OR($I591="Completed",$I591="Cancelled"),0,$L591-TODAY()))</f>
        <v/>
      </c>
      <c r="Q591" s="3"/>
      <c r="S591" s="0" t="str">
        <f aca="false">IF($A591="","",IF(AND($O591&lt;0,$I591&lt;&gt;"Completed",$I591&lt;&gt;"Cancelled"),1,0))</f>
        <v/>
      </c>
      <c r="T591" s="0" t="str">
        <f aca="false">IF($A591="","",IF($I591="Completed",ROW(),""))</f>
        <v/>
      </c>
      <c r="U591" s="0" t="str">
        <f aca="false">IF($A591="","",IF(OR($I591="Not Started",$I591="Planning",$I591="Blocked"),ROW(),""))</f>
        <v/>
      </c>
    </row>
    <row r="592" customFormat="false" ht="15" hidden="false" customHeight="false" outlineLevel="0" collapsed="false">
      <c r="B592" s="3"/>
      <c r="F592" s="3"/>
      <c r="G592" s="3"/>
      <c r="H592" s="3"/>
      <c r="I592" s="3"/>
      <c r="J592" s="37" t="str">
        <f aca="false">IF($A592="","",IFERROR(INDEX(Lists!$B$2:$B$10,MATCH($I592,Lists!$A$2:$A$10,0)),""))</f>
        <v/>
      </c>
      <c r="N592" s="0" t="str">
        <f aca="false">IF($A592="","",$L592-$K592+1)</f>
        <v/>
      </c>
      <c r="O592" s="39" t="str">
        <f aca="true">IF($A592="","",IF(OR($I592="Completed",$I592="Cancelled"),0,$L592-TODAY()))</f>
        <v/>
      </c>
      <c r="Q592" s="3"/>
      <c r="S592" s="0" t="str">
        <f aca="false">IF($A592="","",IF(AND($O592&lt;0,$I592&lt;&gt;"Completed",$I592&lt;&gt;"Cancelled"),1,0))</f>
        <v/>
      </c>
      <c r="T592" s="0" t="str">
        <f aca="false">IF($A592="","",IF($I592="Completed",ROW(),""))</f>
        <v/>
      </c>
      <c r="U592" s="0" t="str">
        <f aca="false">IF($A592="","",IF(OR($I592="Not Started",$I592="Planning",$I592="Blocked"),ROW(),""))</f>
        <v/>
      </c>
    </row>
    <row r="593" customFormat="false" ht="15" hidden="false" customHeight="false" outlineLevel="0" collapsed="false">
      <c r="B593" s="3"/>
      <c r="F593" s="3"/>
      <c r="G593" s="3"/>
      <c r="H593" s="3"/>
      <c r="I593" s="3"/>
      <c r="J593" s="37" t="str">
        <f aca="false">IF($A593="","",IFERROR(INDEX(Lists!$B$2:$B$10,MATCH($I593,Lists!$A$2:$A$10,0)),""))</f>
        <v/>
      </c>
      <c r="N593" s="0" t="str">
        <f aca="false">IF($A593="","",$L593-$K593+1)</f>
        <v/>
      </c>
      <c r="O593" s="39" t="str">
        <f aca="true">IF($A593="","",IF(OR($I593="Completed",$I593="Cancelled"),0,$L593-TODAY()))</f>
        <v/>
      </c>
      <c r="Q593" s="3"/>
      <c r="S593" s="0" t="str">
        <f aca="false">IF($A593="","",IF(AND($O593&lt;0,$I593&lt;&gt;"Completed",$I593&lt;&gt;"Cancelled"),1,0))</f>
        <v/>
      </c>
      <c r="T593" s="0" t="str">
        <f aca="false">IF($A593="","",IF($I593="Completed",ROW(),""))</f>
        <v/>
      </c>
      <c r="U593" s="0" t="str">
        <f aca="false">IF($A593="","",IF(OR($I593="Not Started",$I593="Planning",$I593="Blocked"),ROW(),""))</f>
        <v/>
      </c>
    </row>
    <row r="594" customFormat="false" ht="15" hidden="false" customHeight="false" outlineLevel="0" collapsed="false">
      <c r="B594" s="3"/>
      <c r="F594" s="3"/>
      <c r="G594" s="3"/>
      <c r="H594" s="3"/>
      <c r="I594" s="3"/>
      <c r="J594" s="37" t="str">
        <f aca="false">IF($A594="","",IFERROR(INDEX(Lists!$B$2:$B$10,MATCH($I594,Lists!$A$2:$A$10,0)),""))</f>
        <v/>
      </c>
      <c r="N594" s="0" t="str">
        <f aca="false">IF($A594="","",$L594-$K594+1)</f>
        <v/>
      </c>
      <c r="O594" s="39" t="str">
        <f aca="true">IF($A594="","",IF(OR($I594="Completed",$I594="Cancelled"),0,$L594-TODAY()))</f>
        <v/>
      </c>
      <c r="Q594" s="3"/>
      <c r="S594" s="0" t="str">
        <f aca="false">IF($A594="","",IF(AND($O594&lt;0,$I594&lt;&gt;"Completed",$I594&lt;&gt;"Cancelled"),1,0))</f>
        <v/>
      </c>
      <c r="T594" s="0" t="str">
        <f aca="false">IF($A594="","",IF($I594="Completed",ROW(),""))</f>
        <v/>
      </c>
      <c r="U594" s="0" t="str">
        <f aca="false">IF($A594="","",IF(OR($I594="Not Started",$I594="Planning",$I594="Blocked"),ROW(),""))</f>
        <v/>
      </c>
    </row>
    <row r="595" customFormat="false" ht="15" hidden="false" customHeight="false" outlineLevel="0" collapsed="false">
      <c r="B595" s="3"/>
      <c r="F595" s="3"/>
      <c r="G595" s="3"/>
      <c r="H595" s="3"/>
      <c r="I595" s="3"/>
      <c r="J595" s="37" t="str">
        <f aca="false">IF($A595="","",IFERROR(INDEX(Lists!$B$2:$B$10,MATCH($I595,Lists!$A$2:$A$10,0)),""))</f>
        <v/>
      </c>
      <c r="N595" s="0" t="str">
        <f aca="false">IF($A595="","",$L595-$K595+1)</f>
        <v/>
      </c>
      <c r="O595" s="39" t="str">
        <f aca="true">IF($A595="","",IF(OR($I595="Completed",$I595="Cancelled"),0,$L595-TODAY()))</f>
        <v/>
      </c>
      <c r="Q595" s="3"/>
      <c r="S595" s="0" t="str">
        <f aca="false">IF($A595="","",IF(AND($O595&lt;0,$I595&lt;&gt;"Completed",$I595&lt;&gt;"Cancelled"),1,0))</f>
        <v/>
      </c>
      <c r="T595" s="0" t="str">
        <f aca="false">IF($A595="","",IF($I595="Completed",ROW(),""))</f>
        <v/>
      </c>
      <c r="U595" s="0" t="str">
        <f aca="false">IF($A595="","",IF(OR($I595="Not Started",$I595="Planning",$I595="Blocked"),ROW(),""))</f>
        <v/>
      </c>
    </row>
    <row r="596" customFormat="false" ht="15" hidden="false" customHeight="false" outlineLevel="0" collapsed="false">
      <c r="B596" s="3"/>
      <c r="F596" s="3"/>
      <c r="G596" s="3"/>
      <c r="H596" s="3"/>
      <c r="I596" s="3"/>
      <c r="J596" s="37" t="str">
        <f aca="false">IF($A596="","",IFERROR(INDEX(Lists!$B$2:$B$10,MATCH($I596,Lists!$A$2:$A$10,0)),""))</f>
        <v/>
      </c>
      <c r="N596" s="0" t="str">
        <f aca="false">IF($A596="","",$L596-$K596+1)</f>
        <v/>
      </c>
      <c r="O596" s="39" t="str">
        <f aca="true">IF($A596="","",IF(OR($I596="Completed",$I596="Cancelled"),0,$L596-TODAY()))</f>
        <v/>
      </c>
      <c r="Q596" s="3"/>
      <c r="S596" s="0" t="str">
        <f aca="false">IF($A596="","",IF(AND($O596&lt;0,$I596&lt;&gt;"Completed",$I596&lt;&gt;"Cancelled"),1,0))</f>
        <v/>
      </c>
      <c r="T596" s="0" t="str">
        <f aca="false">IF($A596="","",IF($I596="Completed",ROW(),""))</f>
        <v/>
      </c>
      <c r="U596" s="0" t="str">
        <f aca="false">IF($A596="","",IF(OR($I596="Not Started",$I596="Planning",$I596="Blocked"),ROW(),""))</f>
        <v/>
      </c>
    </row>
    <row r="597" customFormat="false" ht="15" hidden="false" customHeight="false" outlineLevel="0" collapsed="false">
      <c r="B597" s="3"/>
      <c r="F597" s="3"/>
      <c r="G597" s="3"/>
      <c r="H597" s="3"/>
      <c r="I597" s="3"/>
      <c r="J597" s="37" t="str">
        <f aca="false">IF($A597="","",IFERROR(INDEX(Lists!$B$2:$B$10,MATCH($I597,Lists!$A$2:$A$10,0)),""))</f>
        <v/>
      </c>
      <c r="N597" s="0" t="str">
        <f aca="false">IF($A597="","",$L597-$K597+1)</f>
        <v/>
      </c>
      <c r="O597" s="39" t="str">
        <f aca="true">IF($A597="","",IF(OR($I597="Completed",$I597="Cancelled"),0,$L597-TODAY()))</f>
        <v/>
      </c>
      <c r="Q597" s="3"/>
      <c r="S597" s="0" t="str">
        <f aca="false">IF($A597="","",IF(AND($O597&lt;0,$I597&lt;&gt;"Completed",$I597&lt;&gt;"Cancelled"),1,0))</f>
        <v/>
      </c>
      <c r="T597" s="0" t="str">
        <f aca="false">IF($A597="","",IF($I597="Completed",ROW(),""))</f>
        <v/>
      </c>
      <c r="U597" s="0" t="str">
        <f aca="false">IF($A597="","",IF(OR($I597="Not Started",$I597="Planning",$I597="Blocked"),ROW(),""))</f>
        <v/>
      </c>
    </row>
    <row r="598" customFormat="false" ht="15" hidden="false" customHeight="false" outlineLevel="0" collapsed="false">
      <c r="B598" s="3"/>
      <c r="F598" s="3"/>
      <c r="G598" s="3"/>
      <c r="H598" s="3"/>
      <c r="I598" s="3"/>
      <c r="J598" s="37" t="str">
        <f aca="false">IF($A598="","",IFERROR(INDEX(Lists!$B$2:$B$10,MATCH($I598,Lists!$A$2:$A$10,0)),""))</f>
        <v/>
      </c>
      <c r="N598" s="0" t="str">
        <f aca="false">IF($A598="","",$L598-$K598+1)</f>
        <v/>
      </c>
      <c r="O598" s="39" t="str">
        <f aca="true">IF($A598="","",IF(OR($I598="Completed",$I598="Cancelled"),0,$L598-TODAY()))</f>
        <v/>
      </c>
      <c r="Q598" s="3"/>
      <c r="S598" s="0" t="str">
        <f aca="false">IF($A598="","",IF(AND($O598&lt;0,$I598&lt;&gt;"Completed",$I598&lt;&gt;"Cancelled"),1,0))</f>
        <v/>
      </c>
      <c r="T598" s="0" t="str">
        <f aca="false">IF($A598="","",IF($I598="Completed",ROW(),""))</f>
        <v/>
      </c>
      <c r="U598" s="0" t="str">
        <f aca="false">IF($A598="","",IF(OR($I598="Not Started",$I598="Planning",$I598="Blocked"),ROW(),""))</f>
        <v/>
      </c>
    </row>
    <row r="599" customFormat="false" ht="15" hidden="false" customHeight="false" outlineLevel="0" collapsed="false">
      <c r="B599" s="3"/>
      <c r="F599" s="3"/>
      <c r="G599" s="3"/>
      <c r="H599" s="3"/>
      <c r="I599" s="3"/>
      <c r="J599" s="37" t="str">
        <f aca="false">IF($A599="","",IFERROR(INDEX(Lists!$B$2:$B$10,MATCH($I599,Lists!$A$2:$A$10,0)),""))</f>
        <v/>
      </c>
      <c r="N599" s="0" t="str">
        <f aca="false">IF($A599="","",$L599-$K599+1)</f>
        <v/>
      </c>
      <c r="O599" s="39" t="str">
        <f aca="true">IF($A599="","",IF(OR($I599="Completed",$I599="Cancelled"),0,$L599-TODAY()))</f>
        <v/>
      </c>
      <c r="Q599" s="3"/>
      <c r="S599" s="0" t="str">
        <f aca="false">IF($A599="","",IF(AND($O599&lt;0,$I599&lt;&gt;"Completed",$I599&lt;&gt;"Cancelled"),1,0))</f>
        <v/>
      </c>
      <c r="T599" s="0" t="str">
        <f aca="false">IF($A599="","",IF($I599="Completed",ROW(),""))</f>
        <v/>
      </c>
      <c r="U599" s="0" t="str">
        <f aca="false">IF($A599="","",IF(OR($I599="Not Started",$I599="Planning",$I599="Blocked"),ROW(),""))</f>
        <v/>
      </c>
    </row>
    <row r="600" customFormat="false" ht="15" hidden="false" customHeight="false" outlineLevel="0" collapsed="false">
      <c r="B600" s="3"/>
      <c r="F600" s="3"/>
      <c r="G600" s="3"/>
      <c r="H600" s="3"/>
      <c r="I600" s="3"/>
      <c r="J600" s="37" t="str">
        <f aca="false">IF($A600="","",IFERROR(INDEX(Lists!$B$2:$B$10,MATCH($I600,Lists!$A$2:$A$10,0)),""))</f>
        <v/>
      </c>
      <c r="N600" s="0" t="str">
        <f aca="false">IF($A600="","",$L600-$K600+1)</f>
        <v/>
      </c>
      <c r="O600" s="39" t="str">
        <f aca="true">IF($A600="","",IF(OR($I600="Completed",$I600="Cancelled"),0,$L600-TODAY()))</f>
        <v/>
      </c>
      <c r="Q600" s="3"/>
      <c r="S600" s="0" t="str">
        <f aca="false">IF($A600="","",IF(AND($O600&lt;0,$I600&lt;&gt;"Completed",$I600&lt;&gt;"Cancelled"),1,0))</f>
        <v/>
      </c>
      <c r="T600" s="0" t="str">
        <f aca="false">IF($A600="","",IF($I600="Completed",ROW(),""))</f>
        <v/>
      </c>
      <c r="U600" s="0" t="str">
        <f aca="false">IF($A600="","",IF(OR($I600="Not Started",$I600="Planning",$I600="Blocked"),ROW(),""))</f>
        <v/>
      </c>
    </row>
  </sheetData>
  <conditionalFormatting sqref="I2:I600">
    <cfRule type="cellIs" priority="2" operator="equal" aboveAverage="0" equalAverage="0" bottom="0" percent="0" rank="0" text="" dxfId="16">
      <formula>"Completed"</formula>
    </cfRule>
    <cfRule type="cellIs" priority="3" operator="equal" aboveAverage="0" equalAverage="0" bottom="0" percent="0" rank="0" text="" dxfId="17">
      <formula>"Design"</formula>
    </cfRule>
    <cfRule type="cellIs" priority="4" operator="equal" aboveAverage="0" equalAverage="0" bottom="0" percent="0" rank="0" text="" dxfId="17">
      <formula>"Development"</formula>
    </cfRule>
    <cfRule type="cellIs" priority="5" operator="equal" aboveAverage="0" equalAverage="0" bottom="0" percent="0" rank="0" text="" dxfId="17">
      <formula>"Testing"</formula>
    </cfRule>
    <cfRule type="cellIs" priority="6" operator="equal" aboveAverage="0" equalAverage="0" bottom="0" percent="0" rank="0" text="" dxfId="17">
      <formula>"Review"</formula>
    </cfRule>
    <cfRule type="cellIs" priority="7" operator="equal" aboveAverage="0" equalAverage="0" bottom="0" percent="0" rank="0" text="" dxfId="18">
      <formula>"Planning"</formula>
    </cfRule>
    <cfRule type="cellIs" priority="8" operator="equal" aboveAverage="0" equalAverage="0" bottom="0" percent="0" rank="0" text="" dxfId="19">
      <formula>"Blocked"</formula>
    </cfRule>
    <cfRule type="cellIs" priority="9" operator="equal" aboveAverage="0" equalAverage="0" bottom="0" percent="0" rank="0" text="" dxfId="20">
      <formula>"Not Started"</formula>
    </cfRule>
    <cfRule type="cellIs" priority="10" operator="equal" aboveAverage="0" equalAverage="0" bottom="0" percent="0" rank="0" text="" dxfId="21">
      <formula>"Cancelled"</formula>
    </cfRule>
  </conditionalFormatting>
  <conditionalFormatting sqref="F2:F600">
    <cfRule type="cellIs" priority="11" operator="equal" aboveAverage="0" equalAverage="0" bottom="0" percent="0" rank="0" text="" dxfId="22">
      <formula>"Critical"</formula>
    </cfRule>
    <cfRule type="cellIs" priority="12" operator="equal" aboveAverage="0" equalAverage="0" bottom="0" percent="0" rank="0" text="" dxfId="18">
      <formula>"High"</formula>
    </cfRule>
  </conditionalFormatting>
  <conditionalFormatting sqref="Q2:Q600">
    <cfRule type="cellIs" priority="13" operator="equal" aboveAverage="0" equalAverage="0" bottom="0" percent="0" rank="0" text="" dxfId="22">
      <formula>"Critical"</formula>
    </cfRule>
    <cfRule type="cellIs" priority="14" operator="equal" aboveAverage="0" equalAverage="0" bottom="0" percent="0" rank="0" text="" dxfId="18">
      <formula>"High"</formula>
    </cfRule>
  </conditionalFormatting>
  <conditionalFormatting sqref="O2:O600">
    <cfRule type="expression" priority="15" aboveAverage="0" equalAverage="0" bottom="0" percent="0" rank="0" text="" dxfId="22">
      <formula>$S2=1</formula>
    </cfRule>
  </conditionalFormatting>
  <conditionalFormatting sqref="J2:J600">
    <cfRule type="dataBar" priority="16">
      <dataBar showValue="1" minLength="10" maxLength="90">
        <cfvo type="num" val="0"/>
        <cfvo type="num" val="1"/>
        <color rgb="FF2CA58D"/>
      </dataBar>
      <extLst>
        <ext xmlns:x14="http://schemas.microsoft.com/office/spreadsheetml/2009/9/main" uri="{B025F937-C7B1-47D3-B67F-A62EFF666E3E}">
          <x14:id>{43405850-5560-4EE6-B112-66E5FAF8E2AE}</x14:id>
        </ext>
      </extLst>
    </cfRule>
  </conditionalFormatting>
  <dataValidations count="6">
    <dataValidation allowBlank="true" errorStyle="stop" operator="between" showDropDown="false" showErrorMessage="false" showInputMessage="false" sqref="I2:I600" type="list">
      <formula1>Lists!$A$2:$A$10</formula1>
      <formula2>0</formula2>
    </dataValidation>
    <dataValidation allowBlank="true" errorStyle="stop" operator="between" showDropDown="false" showErrorMessage="false" showInputMessage="false" sqref="F2:F600" type="list">
      <formula1>Lists!$D$2:$D$5</formula1>
      <formula2>0</formula2>
    </dataValidation>
    <dataValidation allowBlank="true" errorStyle="stop" operator="between" showDropDown="false" showErrorMessage="false" showInputMessage="false" sqref="Q2:Q600" type="list">
      <formula1>Lists!$F$2:$F$5</formula1>
      <formula2>0</formula2>
    </dataValidation>
    <dataValidation allowBlank="true" errorStyle="stop" operator="between" showDropDown="false" showErrorMessage="false" showInputMessage="false" sqref="H2:H600" type="list">
      <formula1>Lists!$H$2:$H$9</formula1>
      <formula2>0</formula2>
    </dataValidation>
    <dataValidation allowBlank="true" errorStyle="stop" operator="between" showDropDown="false" showErrorMessage="false" showInputMessage="false" sqref="G2:G600" type="list">
      <formula1>Lists!$J$2:$J$15</formula1>
      <formula2>0</formula2>
    </dataValidation>
    <dataValidation allowBlank="true" errorStyle="stop" operator="between" showDropDown="false" showErrorMessage="false" showInputMessage="false" sqref="B2:B600" type="list">
      <formula1>Lists!$L$2:$L$31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405850-5560-4EE6-B112-66E5FAF8E2A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CA58D"/>
              <x14:axisColor rgb="FF000000"/>
            </x14:dataBar>
          </x14:cfRule>
          <xm:sqref>J2:J600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7" min="2" style="0" width="22"/>
  </cols>
  <sheetData>
    <row r="1" customFormat="false" ht="21.75" hidden="false" customHeight="true" outlineLevel="0" collapsed="false">
      <c r="A1" s="36" t="s">
        <v>457</v>
      </c>
      <c r="B1" s="36" t="s">
        <v>63</v>
      </c>
      <c r="C1" s="36" t="s">
        <v>61</v>
      </c>
      <c r="D1" s="36" t="s">
        <v>458</v>
      </c>
      <c r="E1" s="36" t="s">
        <v>459</v>
      </c>
      <c r="F1" s="36" t="s">
        <v>460</v>
      </c>
      <c r="G1" s="36" t="s">
        <v>461</v>
      </c>
    </row>
    <row r="2" customFormat="false" ht="15" hidden="false" customHeight="false" outlineLevel="0" collapsed="false">
      <c r="A2" s="0" t="n">
        <f aca="false">IFERROR(SMALL('Master Task List'!$T$2:$T$600,1),"")</f>
        <v>2</v>
      </c>
      <c r="B2" s="0" t="str">
        <f aca="false">IF($A2="","",INDEX('Master Task List'!$D:$D,$A2))</f>
        <v>إعداد ميثاق المشروع</v>
      </c>
      <c r="C2" s="0" t="str">
        <f aca="false">IF($A2="","",INDEX('Master Task List'!$B:$B,$A2))</f>
        <v>Project Planning</v>
      </c>
      <c r="D2" s="0" t="str">
        <f aca="false">IF($A2="","",INDEX('Master Task List'!$G:$G,$A2))</f>
        <v>سارة العتيبي</v>
      </c>
      <c r="E2" s="38" t="n">
        <f aca="false">IF($A2="","",INDEX('Master Task List'!$M:$M,$A2))</f>
        <v>46034</v>
      </c>
      <c r="F2" s="40" t="n">
        <f aca="false">IF($A2="","",INDEX('Master Task List'!$N:$N,$A2))</f>
        <v>10</v>
      </c>
      <c r="G2" s="41"/>
    </row>
    <row r="3" customFormat="false" ht="15" hidden="false" customHeight="false" outlineLevel="0" collapsed="false">
      <c r="A3" s="0" t="n">
        <f aca="false">IFERROR(SMALL('Master Task List'!$T$2:$T$600,2),"")</f>
        <v>3</v>
      </c>
      <c r="B3" s="0" t="str">
        <f aca="false">IF($A3="","",INDEX('Master Task List'!$D:$D,$A3))</f>
        <v>بناء خطة العمل الزمنية</v>
      </c>
      <c r="C3" s="0" t="str">
        <f aca="false">IF($A3="","",INDEX('Master Task List'!$B:$B,$A3))</f>
        <v>Project Planning</v>
      </c>
      <c r="D3" s="0" t="str">
        <f aca="false">IF($A3="","",INDEX('Master Task List'!$G:$G,$A3))</f>
        <v>سارة العتيبي</v>
      </c>
      <c r="E3" s="38" t="n">
        <f aca="false">IF($A3="","",INDEX('Master Task List'!$M:$M,$A3))</f>
        <v>46049</v>
      </c>
      <c r="F3" s="40" t="n">
        <f aca="false">IF($A3="","",INDEX('Master Task List'!$N:$N,$A3))</f>
        <v>10</v>
      </c>
      <c r="G3" s="41"/>
    </row>
    <row r="4" customFormat="false" ht="15" hidden="false" customHeight="false" outlineLevel="0" collapsed="false">
      <c r="A4" s="0" t="n">
        <f aca="false">IFERROR(SMALL('Master Task List'!$T$2:$T$600,3),"")</f>
        <v>4</v>
      </c>
      <c r="B4" s="0" t="str">
        <f aca="false">IF($A4="","",INDEX('Master Task List'!$D:$D,$A4))</f>
        <v>تخصيص فريق العمل</v>
      </c>
      <c r="C4" s="0" t="str">
        <f aca="false">IF($A4="","",INDEX('Master Task List'!$B:$B,$A4))</f>
        <v>Project Planning</v>
      </c>
      <c r="D4" s="0" t="str">
        <f aca="false">IF($A4="","",INDEX('Master Task List'!$G:$G,$A4))</f>
        <v>سارة العتيبي</v>
      </c>
      <c r="E4" s="38" t="n">
        <f aca="false">IF($A4="","",INDEX('Master Task List'!$M:$M,$A4))</f>
        <v>46054</v>
      </c>
      <c r="F4" s="40" t="n">
        <f aca="false">IF($A4="","",INDEX('Master Task List'!$N:$N,$A4))</f>
        <v>10</v>
      </c>
      <c r="G4" s="41"/>
    </row>
    <row r="5" customFormat="false" ht="15" hidden="false" customHeight="false" outlineLevel="0" collapsed="false">
      <c r="A5" s="0" t="n">
        <f aca="false">IFERROR(SMALL('Master Task List'!$T$2:$T$600,4),"")</f>
        <v>5</v>
      </c>
      <c r="B5" s="0" t="str">
        <f aca="false">IF($A5="","",INDEX('Master Task List'!$D:$D,$A5))</f>
        <v>جمع متطلبات الضمانات</v>
      </c>
      <c r="C5" s="0" t="str">
        <f aca="false">IF($A5="","",INDEX('Master Task List'!$B:$B,$A5))</f>
        <v>Business Analysis</v>
      </c>
      <c r="D5" s="0" t="str">
        <f aca="false">IF($A5="","",INDEX('Master Task List'!$G:$G,$A5))</f>
        <v>محمد القحطاني</v>
      </c>
      <c r="E5" s="38" t="n">
        <f aca="false">IF($A5="","",INDEX('Master Task List'!$M:$M,$A5))</f>
        <v>46054</v>
      </c>
      <c r="F5" s="40" t="n">
        <f aca="false">IF($A5="","",INDEX('Master Task List'!$N:$N,$A5))</f>
        <v>15</v>
      </c>
      <c r="G5" s="41"/>
    </row>
    <row r="6" customFormat="false" ht="15" hidden="false" customHeight="false" outlineLevel="0" collapsed="false">
      <c r="A6" s="0" t="n">
        <f aca="false">IFERROR(SMALL('Master Task List'!$T$2:$T$600,5),"")</f>
        <v>6</v>
      </c>
      <c r="B6" s="0" t="str">
        <f aca="false">IF($A6="","",INDEX('Master Task List'!$D:$D,$A6))</f>
        <v>تحليل نموذج العمل</v>
      </c>
      <c r="C6" s="0" t="str">
        <f aca="false">IF($A6="","",INDEX('Master Task List'!$B:$B,$A6))</f>
        <v>Business Analysis</v>
      </c>
      <c r="D6" s="0" t="str">
        <f aca="false">IF($A6="","",INDEX('Master Task List'!$G:$G,$A6))</f>
        <v>محمد القحطاني</v>
      </c>
      <c r="E6" s="38" t="n">
        <f aca="false">IF($A6="","",INDEX('Master Task List'!$M:$M,$A6))</f>
        <v>46075</v>
      </c>
      <c r="F6" s="40" t="n">
        <f aca="false">IF($A6="","",INDEX('Master Task List'!$N:$N,$A6))</f>
        <v>16</v>
      </c>
      <c r="G6" s="41"/>
    </row>
    <row r="7" customFormat="false" ht="15" hidden="false" customHeight="false" outlineLevel="0" collapsed="false">
      <c r="A7" s="0" t="n">
        <f aca="false">IFERROR(SMALL('Master Task List'!$T$2:$T$600,6),"")</f>
        <v>7</v>
      </c>
      <c r="B7" s="0" t="str">
        <f aca="false">IF($A7="","",INDEX('Master Task List'!$D:$D,$A7))</f>
        <v>إعداد وثيقة المتطلبات (BRD)</v>
      </c>
      <c r="C7" s="0" t="str">
        <f aca="false">IF($A7="","",INDEX('Master Task List'!$B:$B,$A7))</f>
        <v>Business Analysis</v>
      </c>
      <c r="D7" s="0" t="str">
        <f aca="false">IF($A7="","",INDEX('Master Task List'!$G:$G,$A7))</f>
        <v>محمد القحطاني</v>
      </c>
      <c r="E7" s="38" t="n">
        <f aca="false">IF($A7="","",INDEX('Master Task List'!$M:$M,$A7))</f>
        <v>46085</v>
      </c>
      <c r="F7" s="40" t="n">
        <f aca="false">IF($A7="","",INDEX('Master Task List'!$N:$N,$A7))</f>
        <v>15</v>
      </c>
      <c r="G7" s="41"/>
    </row>
    <row r="8" customFormat="false" ht="15" hidden="false" customHeight="false" outlineLevel="0" collapsed="false">
      <c r="A8" s="0" t="n">
        <f aca="false">IFERROR(SMALL('Master Task List'!$T$2:$T$600,7),"")</f>
        <v>8</v>
      </c>
      <c r="B8" s="0" t="str">
        <f aca="false">IF($A8="","",INDEX('Master Task List'!$D:$D,$A8))</f>
        <v>بناء خرائط تدفق المستخدم</v>
      </c>
      <c r="C8" s="0" t="str">
        <f aca="false">IF($A8="","",INDEX('Master Task List'!$B:$B,$A8))</f>
        <v>UI/UX Design</v>
      </c>
      <c r="D8" s="0" t="str">
        <f aca="false">IF($A8="","",INDEX('Master Task List'!$G:$G,$A8))</f>
        <v>نورة الدوسري</v>
      </c>
      <c r="E8" s="38" t="n">
        <f aca="false">IF($A8="","",INDEX('Master Task List'!$M:$M,$A8))</f>
        <v>46090</v>
      </c>
      <c r="F8" s="40" t="n">
        <f aca="false">IF($A8="","",INDEX('Master Task List'!$N:$N,$A8))</f>
        <v>20</v>
      </c>
      <c r="G8" s="41"/>
    </row>
    <row r="9" customFormat="false" ht="15" hidden="false" customHeight="false" outlineLevel="0" collapsed="false">
      <c r="A9" s="0" t="n">
        <f aca="false">IFERROR(SMALL('Master Task List'!$T$2:$T$600,8),"")</f>
        <v>9</v>
      </c>
      <c r="B9" s="0" t="str">
        <f aca="false">IF($A9="","",INDEX('Master Task List'!$D:$D,$A9))</f>
        <v>تصميم نظام التصميم (Design System)</v>
      </c>
      <c r="C9" s="0" t="str">
        <f aca="false">IF($A9="","",INDEX('Master Task List'!$B:$B,$A9))</f>
        <v>UI/UX Design</v>
      </c>
      <c r="D9" s="0" t="str">
        <f aca="false">IF($A9="","",INDEX('Master Task List'!$G:$G,$A9))</f>
        <v>نورة الدوسري</v>
      </c>
      <c r="E9" s="38" t="n">
        <f aca="false">IF($A9="","",INDEX('Master Task List'!$M:$M,$A9))</f>
        <v>46115</v>
      </c>
      <c r="F9" s="40" t="n">
        <f aca="false">IF($A9="","",INDEX('Master Task List'!$N:$N,$A9))</f>
        <v>20</v>
      </c>
      <c r="G9" s="41"/>
    </row>
    <row r="10" customFormat="false" ht="15" hidden="false" customHeight="false" outlineLevel="0" collapsed="false">
      <c r="A10" s="0" t="n">
        <f aca="false">IFERROR(SMALL('Master Task List'!$T$2:$T$600,9),"")</f>
        <v>10</v>
      </c>
      <c r="B10" s="0" t="str">
        <f aca="false">IF($A10="","",INDEX('Master Task List'!$D:$D,$A10))</f>
        <v>تصميم النماذج التفاعلية (Prototype)</v>
      </c>
      <c r="C10" s="0" t="str">
        <f aca="false">IF($A10="","",INDEX('Master Task List'!$B:$B,$A10))</f>
        <v>UI/UX Design</v>
      </c>
      <c r="D10" s="0" t="str">
        <f aca="false">IF($A10="","",INDEX('Master Task List'!$G:$G,$A10))</f>
        <v>نورة الدوسري</v>
      </c>
      <c r="E10" s="38" t="n">
        <f aca="false">IF($A10="","",INDEX('Master Task List'!$M:$M,$A10))</f>
        <v>46130</v>
      </c>
      <c r="F10" s="40" t="n">
        <f aca="false">IF($A10="","",INDEX('Master Task List'!$N:$N,$A10))</f>
        <v>20</v>
      </c>
      <c r="G10" s="41"/>
    </row>
    <row r="11" customFormat="false" ht="15" hidden="false" customHeight="false" outlineLevel="0" collapsed="false">
      <c r="A11" s="0" t="n">
        <f aca="false">IFERROR(SMALL('Master Task List'!$T$2:$T$600,10),"")</f>
        <v>11</v>
      </c>
      <c r="B11" s="0" t="str">
        <f aca="false">IF($A11="","",INDEX('Master Task List'!$D:$D,$A11))</f>
        <v>تصميم الشعار وتصميم الهوية</v>
      </c>
      <c r="C11" s="0" t="str">
        <f aca="false">IF($A11="","",INDEX('Master Task List'!$B:$B,$A11))</f>
        <v>Branding</v>
      </c>
      <c r="D11" s="0" t="str">
        <f aca="false">IF($A11="","",INDEX('Master Task List'!$G:$G,$A11))</f>
        <v>عبدالله الشمري</v>
      </c>
      <c r="E11" s="38" t="n">
        <f aca="false">IF($A11="","",INDEX('Master Task List'!$M:$M,$A11))</f>
        <v>46085</v>
      </c>
      <c r="F11" s="40" t="n">
        <f aca="false">IF($A11="","",INDEX('Master Task List'!$N:$N,$A11))</f>
        <v>15</v>
      </c>
      <c r="G11" s="41"/>
    </row>
    <row r="12" customFormat="false" ht="15" hidden="false" customHeight="false" outlineLevel="0" collapsed="false">
      <c r="A12" s="0" t="n">
        <f aca="false">IFERROR(SMALL('Master Task List'!$T$2:$T$600,11),"")</f>
        <v>12</v>
      </c>
      <c r="B12" s="0" t="str">
        <f aca="false">IF($A12="","",INDEX('Master Task List'!$D:$D,$A12))</f>
        <v>تطوير دليل العلامة التجارية</v>
      </c>
      <c r="C12" s="0" t="str">
        <f aca="false">IF($A12="","",INDEX('Master Task List'!$B:$B,$A12))</f>
        <v>Branding</v>
      </c>
      <c r="D12" s="0" t="str">
        <f aca="false">IF($A12="","",INDEX('Master Task List'!$G:$G,$A12))</f>
        <v>عبدالله الشمري</v>
      </c>
      <c r="E12" s="38" t="n">
        <f aca="false">IF($A12="","",INDEX('Master Task List'!$M:$M,$A12))</f>
        <v>46105</v>
      </c>
      <c r="F12" s="40" t="n">
        <f aca="false">IF($A12="","",INDEX('Master Task List'!$N:$N,$A12))</f>
        <v>15</v>
      </c>
      <c r="G12" s="41"/>
    </row>
    <row r="13" customFormat="false" ht="15" hidden="false" customHeight="false" outlineLevel="0" collapsed="false">
      <c r="A13" s="0" t="n">
        <f aca="false">IFERROR(SMALL('Master Task List'!$T$2:$T$600,12),"")</f>
        <v>13</v>
      </c>
      <c r="B13" s="0" t="str">
        <f aca="false">IF($A13="","",INDEX('Master Task List'!$D:$D,$A13))</f>
        <v>تصميم مواد تسويقية أولية</v>
      </c>
      <c r="C13" s="0" t="str">
        <f aca="false">IF($A13="","",INDEX('Master Task List'!$B:$B,$A13))</f>
        <v>Branding</v>
      </c>
      <c r="D13" s="0" t="str">
        <f aca="false">IF($A13="","",INDEX('Master Task List'!$G:$G,$A13))</f>
        <v>عبدالله الشمري</v>
      </c>
      <c r="E13" s="38" t="n">
        <f aca="false">IF($A13="","",INDEX('Master Task List'!$M:$M,$A13))</f>
        <v>46115</v>
      </c>
      <c r="F13" s="40" t="n">
        <f aca="false">IF($A13="","",INDEX('Master Task List'!$N:$N,$A13))</f>
        <v>15</v>
      </c>
      <c r="G13" s="41"/>
    </row>
    <row r="14" customFormat="false" ht="15" hidden="false" customHeight="false" outlineLevel="0" collapsed="false">
      <c r="A14" s="0" t="n">
        <f aca="false">IFERROR(SMALL('Master Task List'!$T$2:$T$600,13),"")</f>
        <v>20</v>
      </c>
      <c r="B14" s="0" t="str">
        <f aca="false">IF($A14="","",INDEX('Master Task List'!$D:$D,$A14))</f>
        <v>تطوير تسجيل الدخول وكلمة المرور</v>
      </c>
      <c r="C14" s="0" t="str">
        <f aca="false">IF($A14="","",INDEX('Master Task List'!$B:$B,$A14))</f>
        <v>Authentication</v>
      </c>
      <c r="D14" s="0" t="str">
        <f aca="false">IF($A14="","",INDEX('Master Task List'!$G:$G,$A14))</f>
        <v>خالد الغامدي</v>
      </c>
      <c r="E14" s="38" t="n">
        <f aca="false">IF($A14="","",INDEX('Master Task List'!$M:$M,$A14))</f>
        <v>46135</v>
      </c>
      <c r="F14" s="40" t="n">
        <f aca="false">IF($A14="","",INDEX('Master Task List'!$N:$N,$A14))</f>
        <v>20</v>
      </c>
      <c r="G14" s="41"/>
    </row>
    <row r="15" customFormat="false" ht="15" hidden="false" customHeight="false" outlineLevel="0" collapsed="false">
      <c r="A15" s="0" t="n">
        <f aca="false">IFERROR(SMALL('Master Task List'!$T$2:$T$600,14),"")</f>
        <v>21</v>
      </c>
      <c r="B15" s="0" t="str">
        <f aca="false">IF($A15="","",INDEX('Master Task List'!$D:$D,$A15))</f>
        <v>دمج المصادقة الثنائية (OTP)</v>
      </c>
      <c r="C15" s="0" t="str">
        <f aca="false">IF($A15="","",INDEX('Master Task List'!$B:$B,$A15))</f>
        <v>Authentication</v>
      </c>
      <c r="D15" s="0" t="str">
        <f aca="false">IF($A15="","",INDEX('Master Task List'!$G:$G,$A15))</f>
        <v>خالد الغامدي</v>
      </c>
      <c r="E15" s="38" t="n">
        <f aca="false">IF($A15="","",INDEX('Master Task List'!$M:$M,$A15))</f>
        <v>46161</v>
      </c>
      <c r="F15" s="40" t="n">
        <f aca="false">IF($A15="","",INDEX('Master Task List'!$N:$N,$A15))</f>
        <v>21</v>
      </c>
      <c r="G15" s="41"/>
    </row>
    <row r="16" customFormat="false" ht="15" hidden="false" customHeight="false" outlineLevel="0" collapsed="false">
      <c r="A16" s="0" t="n">
        <f aca="false">IFERROR(SMALL('Master Task List'!$T$2:$T$600,15),"")</f>
        <v>22</v>
      </c>
      <c r="B16" s="0" t="str">
        <f aca="false">IF($A16="","",INDEX('Master Task List'!$D:$D,$A16))</f>
        <v>دمج تسجيل الدخول الموحد (SSO/نفاذ)</v>
      </c>
      <c r="C16" s="0" t="str">
        <f aca="false">IF($A16="","",INDEX('Master Task List'!$B:$B,$A16))</f>
        <v>Authentication</v>
      </c>
      <c r="D16" s="0" t="str">
        <f aca="false">IF($A16="","",INDEX('Master Task List'!$G:$G,$A16))</f>
        <v>خالد الغامدي</v>
      </c>
      <c r="E16" s="38" t="n">
        <f aca="false">IF($A16="","",INDEX('Master Task List'!$M:$M,$A16))</f>
        <v>46176</v>
      </c>
      <c r="F16" s="40" t="n">
        <f aca="false">IF($A16="","",INDEX('Master Task List'!$N:$N,$A16))</f>
        <v>20</v>
      </c>
      <c r="G16" s="41"/>
    </row>
    <row r="17" customFormat="false" ht="15" hidden="false" customHeight="false" outlineLevel="0" collapsed="false">
      <c r="A17" s="0" t="n">
        <f aca="false">IFERROR(SMALL('Master Task List'!$T$2:$T$600,16),"")</f>
        <v>23</v>
      </c>
      <c r="B17" s="0" t="str">
        <f aca="false">IF($A17="","",INDEX('Master Task List'!$D:$D,$A17))</f>
        <v>بناء نظام الأدوار والصلاحيات</v>
      </c>
      <c r="C17" s="0" t="str">
        <f aca="false">IF($A17="","",INDEX('Master Task List'!$B:$B,$A17))</f>
        <v>User Management</v>
      </c>
      <c r="D17" s="0" t="str">
        <f aca="false">IF($A17="","",INDEX('Master Task List'!$G:$G,$A17))</f>
        <v>لمياء العنزي</v>
      </c>
      <c r="E17" s="38" t="n">
        <f aca="false">IF($A17="","",INDEX('Master Task List'!$M:$M,$A17))</f>
        <v>46171</v>
      </c>
      <c r="F17" s="40" t="n">
        <f aca="false">IF($A17="","",INDEX('Master Task List'!$N:$N,$A17))</f>
        <v>25</v>
      </c>
      <c r="G17" s="41"/>
    </row>
    <row r="18" customFormat="false" ht="15" hidden="false" customHeight="false" outlineLevel="0" collapsed="false">
      <c r="A18" s="0" t="str">
        <f aca="false">IFERROR(SMALL('Master Task List'!$T$2:$T$600,17),"")</f>
        <v/>
      </c>
      <c r="B18" s="0" t="str">
        <f aca="false">IF($A18="","",INDEX('Master Task List'!$D:$D,$A18))</f>
        <v/>
      </c>
      <c r="C18" s="0" t="str">
        <f aca="false">IF($A18="","",INDEX('Master Task List'!$B:$B,$A18))</f>
        <v/>
      </c>
      <c r="D18" s="0" t="str">
        <f aca="false">IF($A18="","",INDEX('Master Task List'!$G:$G,$A18))</f>
        <v/>
      </c>
      <c r="E18" s="38" t="str">
        <f aca="false">IF($A18="","",INDEX('Master Task List'!$M:$M,$A18))</f>
        <v/>
      </c>
      <c r="F18" s="40" t="str">
        <f aca="false">IF($A18="","",INDEX('Master Task List'!$N:$N,$A18))</f>
        <v/>
      </c>
      <c r="G18" s="41"/>
    </row>
    <row r="19" customFormat="false" ht="15" hidden="false" customHeight="false" outlineLevel="0" collapsed="false">
      <c r="A19" s="0" t="str">
        <f aca="false">IFERROR(SMALL('Master Task List'!$T$2:$T$600,18),"")</f>
        <v/>
      </c>
      <c r="B19" s="0" t="str">
        <f aca="false">IF($A19="","",INDEX('Master Task List'!$D:$D,$A19))</f>
        <v/>
      </c>
      <c r="C19" s="0" t="str">
        <f aca="false">IF($A19="","",INDEX('Master Task List'!$B:$B,$A19))</f>
        <v/>
      </c>
      <c r="D19" s="0" t="str">
        <f aca="false">IF($A19="","",INDEX('Master Task List'!$G:$G,$A19))</f>
        <v/>
      </c>
      <c r="E19" s="38" t="str">
        <f aca="false">IF($A19="","",INDEX('Master Task List'!$M:$M,$A19))</f>
        <v/>
      </c>
      <c r="F19" s="40" t="str">
        <f aca="false">IF($A19="","",INDEX('Master Task List'!$N:$N,$A19))</f>
        <v/>
      </c>
      <c r="G19" s="41"/>
    </row>
    <row r="20" customFormat="false" ht="15" hidden="false" customHeight="false" outlineLevel="0" collapsed="false">
      <c r="A20" s="0" t="str">
        <f aca="false">IFERROR(SMALL('Master Task List'!$T$2:$T$600,19),"")</f>
        <v/>
      </c>
      <c r="B20" s="0" t="str">
        <f aca="false">IF($A20="","",INDEX('Master Task List'!$D:$D,$A20))</f>
        <v/>
      </c>
      <c r="C20" s="0" t="str">
        <f aca="false">IF($A20="","",INDEX('Master Task List'!$B:$B,$A20))</f>
        <v/>
      </c>
      <c r="D20" s="0" t="str">
        <f aca="false">IF($A20="","",INDEX('Master Task List'!$G:$G,$A20))</f>
        <v/>
      </c>
      <c r="E20" s="38" t="str">
        <f aca="false">IF($A20="","",INDEX('Master Task List'!$M:$M,$A20))</f>
        <v/>
      </c>
      <c r="F20" s="40" t="str">
        <f aca="false">IF($A20="","",INDEX('Master Task List'!$N:$N,$A20))</f>
        <v/>
      </c>
      <c r="G20" s="41"/>
    </row>
    <row r="21" customFormat="false" ht="15" hidden="false" customHeight="false" outlineLevel="0" collapsed="false">
      <c r="A21" s="0" t="str">
        <f aca="false">IFERROR(SMALL('Master Task List'!$T$2:$T$600,20),"")</f>
        <v/>
      </c>
      <c r="B21" s="0" t="str">
        <f aca="false">IF($A21="","",INDEX('Master Task List'!$D:$D,$A21))</f>
        <v/>
      </c>
      <c r="C21" s="0" t="str">
        <f aca="false">IF($A21="","",INDEX('Master Task List'!$B:$B,$A21))</f>
        <v/>
      </c>
      <c r="D21" s="0" t="str">
        <f aca="false">IF($A21="","",INDEX('Master Task List'!$G:$G,$A21))</f>
        <v/>
      </c>
      <c r="E21" s="38" t="str">
        <f aca="false">IF($A21="","",INDEX('Master Task List'!$M:$M,$A21))</f>
        <v/>
      </c>
      <c r="F21" s="40" t="str">
        <f aca="false">IF($A21="","",INDEX('Master Task List'!$N:$N,$A21))</f>
        <v/>
      </c>
      <c r="G21" s="41"/>
    </row>
    <row r="22" customFormat="false" ht="15" hidden="false" customHeight="false" outlineLevel="0" collapsed="false">
      <c r="A22" s="0" t="str">
        <f aca="false">IFERROR(SMALL('Master Task List'!$T$2:$T$600,21),"")</f>
        <v/>
      </c>
      <c r="B22" s="0" t="str">
        <f aca="false">IF($A22="","",INDEX('Master Task List'!$D:$D,$A22))</f>
        <v/>
      </c>
      <c r="C22" s="0" t="str">
        <f aca="false">IF($A22="","",INDEX('Master Task List'!$B:$B,$A22))</f>
        <v/>
      </c>
      <c r="D22" s="0" t="str">
        <f aca="false">IF($A22="","",INDEX('Master Task List'!$G:$G,$A22))</f>
        <v/>
      </c>
      <c r="E22" s="38" t="str">
        <f aca="false">IF($A22="","",INDEX('Master Task List'!$M:$M,$A22))</f>
        <v/>
      </c>
      <c r="F22" s="40" t="str">
        <f aca="false">IF($A22="","",INDEX('Master Task List'!$N:$N,$A22))</f>
        <v/>
      </c>
      <c r="G22" s="41"/>
    </row>
    <row r="23" customFormat="false" ht="15" hidden="false" customHeight="false" outlineLevel="0" collapsed="false">
      <c r="A23" s="0" t="str">
        <f aca="false">IFERROR(SMALL('Master Task List'!$T$2:$T$600,22),"")</f>
        <v/>
      </c>
      <c r="B23" s="0" t="str">
        <f aca="false">IF($A23="","",INDEX('Master Task List'!$D:$D,$A23))</f>
        <v/>
      </c>
      <c r="C23" s="0" t="str">
        <f aca="false">IF($A23="","",INDEX('Master Task List'!$B:$B,$A23))</f>
        <v/>
      </c>
      <c r="D23" s="0" t="str">
        <f aca="false">IF($A23="","",INDEX('Master Task List'!$G:$G,$A23))</f>
        <v/>
      </c>
      <c r="E23" s="38" t="str">
        <f aca="false">IF($A23="","",INDEX('Master Task List'!$M:$M,$A23))</f>
        <v/>
      </c>
      <c r="F23" s="40" t="str">
        <f aca="false">IF($A23="","",INDEX('Master Task List'!$N:$N,$A23))</f>
        <v/>
      </c>
      <c r="G23" s="41"/>
    </row>
    <row r="24" customFormat="false" ht="15" hidden="false" customHeight="false" outlineLevel="0" collapsed="false">
      <c r="A24" s="0" t="str">
        <f aca="false">IFERROR(SMALL('Master Task List'!$T$2:$T$600,23),"")</f>
        <v/>
      </c>
      <c r="B24" s="0" t="str">
        <f aca="false">IF($A24="","",INDEX('Master Task List'!$D:$D,$A24))</f>
        <v/>
      </c>
      <c r="C24" s="0" t="str">
        <f aca="false">IF($A24="","",INDEX('Master Task List'!$B:$B,$A24))</f>
        <v/>
      </c>
      <c r="D24" s="0" t="str">
        <f aca="false">IF($A24="","",INDEX('Master Task List'!$G:$G,$A24))</f>
        <v/>
      </c>
      <c r="E24" s="38" t="str">
        <f aca="false">IF($A24="","",INDEX('Master Task List'!$M:$M,$A24))</f>
        <v/>
      </c>
      <c r="F24" s="40" t="str">
        <f aca="false">IF($A24="","",INDEX('Master Task List'!$N:$N,$A24))</f>
        <v/>
      </c>
      <c r="G24" s="41"/>
    </row>
    <row r="25" customFormat="false" ht="15" hidden="false" customHeight="false" outlineLevel="0" collapsed="false">
      <c r="A25" s="0" t="str">
        <f aca="false">IFERROR(SMALL('Master Task List'!$T$2:$T$600,24),"")</f>
        <v/>
      </c>
      <c r="B25" s="0" t="str">
        <f aca="false">IF($A25="","",INDEX('Master Task List'!$D:$D,$A25))</f>
        <v/>
      </c>
      <c r="C25" s="0" t="str">
        <f aca="false">IF($A25="","",INDEX('Master Task List'!$B:$B,$A25))</f>
        <v/>
      </c>
      <c r="D25" s="0" t="str">
        <f aca="false">IF($A25="","",INDEX('Master Task List'!$G:$G,$A25))</f>
        <v/>
      </c>
      <c r="E25" s="38" t="str">
        <f aca="false">IF($A25="","",INDEX('Master Task List'!$M:$M,$A25))</f>
        <v/>
      </c>
      <c r="F25" s="40" t="str">
        <f aca="false">IF($A25="","",INDEX('Master Task List'!$N:$N,$A25))</f>
        <v/>
      </c>
      <c r="G25" s="41"/>
    </row>
    <row r="26" customFormat="false" ht="15" hidden="false" customHeight="false" outlineLevel="0" collapsed="false">
      <c r="A26" s="0" t="str">
        <f aca="false">IFERROR(SMALL('Master Task List'!$T$2:$T$600,25),"")</f>
        <v/>
      </c>
      <c r="B26" s="0" t="str">
        <f aca="false">IF($A26="","",INDEX('Master Task List'!$D:$D,$A26))</f>
        <v/>
      </c>
      <c r="C26" s="0" t="str">
        <f aca="false">IF($A26="","",INDEX('Master Task List'!$B:$B,$A26))</f>
        <v/>
      </c>
      <c r="D26" s="0" t="str">
        <f aca="false">IF($A26="","",INDEX('Master Task List'!$G:$G,$A26))</f>
        <v/>
      </c>
      <c r="E26" s="38" t="str">
        <f aca="false">IF($A26="","",INDEX('Master Task List'!$M:$M,$A26))</f>
        <v/>
      </c>
      <c r="F26" s="40" t="str">
        <f aca="false">IF($A26="","",INDEX('Master Task List'!$N:$N,$A26))</f>
        <v/>
      </c>
      <c r="G26" s="41"/>
    </row>
    <row r="27" customFormat="false" ht="15" hidden="false" customHeight="false" outlineLevel="0" collapsed="false">
      <c r="A27" s="0" t="str">
        <f aca="false">IFERROR(SMALL('Master Task List'!$T$2:$T$600,26),"")</f>
        <v/>
      </c>
      <c r="B27" s="0" t="str">
        <f aca="false">IF($A27="","",INDEX('Master Task List'!$D:$D,$A27))</f>
        <v/>
      </c>
      <c r="C27" s="0" t="str">
        <f aca="false">IF($A27="","",INDEX('Master Task List'!$B:$B,$A27))</f>
        <v/>
      </c>
      <c r="D27" s="0" t="str">
        <f aca="false">IF($A27="","",INDEX('Master Task List'!$G:$G,$A27))</f>
        <v/>
      </c>
      <c r="E27" s="38" t="str">
        <f aca="false">IF($A27="","",INDEX('Master Task List'!$M:$M,$A27))</f>
        <v/>
      </c>
      <c r="F27" s="40" t="str">
        <f aca="false">IF($A27="","",INDEX('Master Task List'!$N:$N,$A27))</f>
        <v/>
      </c>
      <c r="G27" s="41"/>
    </row>
    <row r="28" customFormat="false" ht="15" hidden="false" customHeight="false" outlineLevel="0" collapsed="false">
      <c r="A28" s="0" t="str">
        <f aca="false">IFERROR(SMALL('Master Task List'!$T$2:$T$600,27),"")</f>
        <v/>
      </c>
      <c r="B28" s="0" t="str">
        <f aca="false">IF($A28="","",INDEX('Master Task List'!$D:$D,$A28))</f>
        <v/>
      </c>
      <c r="C28" s="0" t="str">
        <f aca="false">IF($A28="","",INDEX('Master Task List'!$B:$B,$A28))</f>
        <v/>
      </c>
      <c r="D28" s="0" t="str">
        <f aca="false">IF($A28="","",INDEX('Master Task List'!$G:$G,$A28))</f>
        <v/>
      </c>
      <c r="E28" s="38" t="str">
        <f aca="false">IF($A28="","",INDEX('Master Task List'!$M:$M,$A28))</f>
        <v/>
      </c>
      <c r="F28" s="40" t="str">
        <f aca="false">IF($A28="","",INDEX('Master Task List'!$N:$N,$A28))</f>
        <v/>
      </c>
      <c r="G28" s="41"/>
    </row>
    <row r="29" customFormat="false" ht="15" hidden="false" customHeight="false" outlineLevel="0" collapsed="false">
      <c r="A29" s="0" t="str">
        <f aca="false">IFERROR(SMALL('Master Task List'!$T$2:$T$600,28),"")</f>
        <v/>
      </c>
      <c r="B29" s="0" t="str">
        <f aca="false">IF($A29="","",INDEX('Master Task List'!$D:$D,$A29))</f>
        <v/>
      </c>
      <c r="C29" s="0" t="str">
        <f aca="false">IF($A29="","",INDEX('Master Task List'!$B:$B,$A29))</f>
        <v/>
      </c>
      <c r="D29" s="0" t="str">
        <f aca="false">IF($A29="","",INDEX('Master Task List'!$G:$G,$A29))</f>
        <v/>
      </c>
      <c r="E29" s="38" t="str">
        <f aca="false">IF($A29="","",INDEX('Master Task List'!$M:$M,$A29))</f>
        <v/>
      </c>
      <c r="F29" s="40" t="str">
        <f aca="false">IF($A29="","",INDEX('Master Task List'!$N:$N,$A29))</f>
        <v/>
      </c>
      <c r="G29" s="41"/>
    </row>
    <row r="30" customFormat="false" ht="15" hidden="false" customHeight="false" outlineLevel="0" collapsed="false">
      <c r="A30" s="0" t="str">
        <f aca="false">IFERROR(SMALL('Master Task List'!$T$2:$T$600,29),"")</f>
        <v/>
      </c>
      <c r="B30" s="0" t="str">
        <f aca="false">IF($A30="","",INDEX('Master Task List'!$D:$D,$A30))</f>
        <v/>
      </c>
      <c r="C30" s="0" t="str">
        <f aca="false">IF($A30="","",INDEX('Master Task List'!$B:$B,$A30))</f>
        <v/>
      </c>
      <c r="D30" s="0" t="str">
        <f aca="false">IF($A30="","",INDEX('Master Task List'!$G:$G,$A30))</f>
        <v/>
      </c>
      <c r="E30" s="38" t="str">
        <f aca="false">IF($A30="","",INDEX('Master Task List'!$M:$M,$A30))</f>
        <v/>
      </c>
      <c r="F30" s="40" t="str">
        <f aca="false">IF($A30="","",INDEX('Master Task List'!$N:$N,$A30))</f>
        <v/>
      </c>
      <c r="G30" s="41"/>
    </row>
    <row r="31" customFormat="false" ht="15" hidden="false" customHeight="false" outlineLevel="0" collapsed="false">
      <c r="A31" s="0" t="str">
        <f aca="false">IFERROR(SMALL('Master Task List'!$T$2:$T$600,30),"")</f>
        <v/>
      </c>
      <c r="B31" s="0" t="str">
        <f aca="false">IF($A31="","",INDEX('Master Task List'!$D:$D,$A31))</f>
        <v/>
      </c>
      <c r="C31" s="0" t="str">
        <f aca="false">IF($A31="","",INDEX('Master Task List'!$B:$B,$A31))</f>
        <v/>
      </c>
      <c r="D31" s="0" t="str">
        <f aca="false">IF($A31="","",INDEX('Master Task List'!$G:$G,$A31))</f>
        <v/>
      </c>
      <c r="E31" s="38" t="str">
        <f aca="false">IF($A31="","",INDEX('Master Task List'!$M:$M,$A31))</f>
        <v/>
      </c>
      <c r="F31" s="40" t="str">
        <f aca="false">IF($A31="","",INDEX('Master Task List'!$N:$N,$A31))</f>
        <v/>
      </c>
      <c r="G31" s="41"/>
    </row>
    <row r="32" customFormat="false" ht="15" hidden="false" customHeight="false" outlineLevel="0" collapsed="false">
      <c r="A32" s="0" t="str">
        <f aca="false">IFERROR(SMALL('Master Task List'!$T$2:$T$600,31),"")</f>
        <v/>
      </c>
      <c r="B32" s="0" t="str">
        <f aca="false">IF($A32="","",INDEX('Master Task List'!$D:$D,$A32))</f>
        <v/>
      </c>
      <c r="C32" s="0" t="str">
        <f aca="false">IF($A32="","",INDEX('Master Task List'!$B:$B,$A32))</f>
        <v/>
      </c>
      <c r="D32" s="0" t="str">
        <f aca="false">IF($A32="","",INDEX('Master Task List'!$G:$G,$A32))</f>
        <v/>
      </c>
      <c r="E32" s="38" t="str">
        <f aca="false">IF($A32="","",INDEX('Master Task List'!$M:$M,$A32))</f>
        <v/>
      </c>
      <c r="F32" s="40" t="str">
        <f aca="false">IF($A32="","",INDEX('Master Task List'!$N:$N,$A32))</f>
        <v/>
      </c>
      <c r="G32" s="41"/>
    </row>
    <row r="33" customFormat="false" ht="15" hidden="false" customHeight="false" outlineLevel="0" collapsed="false">
      <c r="A33" s="0" t="str">
        <f aca="false">IFERROR(SMALL('Master Task List'!$T$2:$T$600,32),"")</f>
        <v/>
      </c>
      <c r="B33" s="0" t="str">
        <f aca="false">IF($A33="","",INDEX('Master Task List'!$D:$D,$A33))</f>
        <v/>
      </c>
      <c r="C33" s="0" t="str">
        <f aca="false">IF($A33="","",INDEX('Master Task List'!$B:$B,$A33))</f>
        <v/>
      </c>
      <c r="D33" s="0" t="str">
        <f aca="false">IF($A33="","",INDEX('Master Task List'!$G:$G,$A33))</f>
        <v/>
      </c>
      <c r="E33" s="38" t="str">
        <f aca="false">IF($A33="","",INDEX('Master Task List'!$M:$M,$A33))</f>
        <v/>
      </c>
      <c r="F33" s="40" t="str">
        <f aca="false">IF($A33="","",INDEX('Master Task List'!$N:$N,$A33))</f>
        <v/>
      </c>
      <c r="G33" s="41"/>
    </row>
    <row r="34" customFormat="false" ht="15" hidden="false" customHeight="false" outlineLevel="0" collapsed="false">
      <c r="A34" s="0" t="str">
        <f aca="false">IFERROR(SMALL('Master Task List'!$T$2:$T$600,33),"")</f>
        <v/>
      </c>
      <c r="B34" s="0" t="str">
        <f aca="false">IF($A34="","",INDEX('Master Task List'!$D:$D,$A34))</f>
        <v/>
      </c>
      <c r="C34" s="0" t="str">
        <f aca="false">IF($A34="","",INDEX('Master Task List'!$B:$B,$A34))</f>
        <v/>
      </c>
      <c r="D34" s="0" t="str">
        <f aca="false">IF($A34="","",INDEX('Master Task List'!$G:$G,$A34))</f>
        <v/>
      </c>
      <c r="E34" s="38" t="str">
        <f aca="false">IF($A34="","",INDEX('Master Task List'!$M:$M,$A34))</f>
        <v/>
      </c>
      <c r="F34" s="40" t="str">
        <f aca="false">IF($A34="","",INDEX('Master Task List'!$N:$N,$A34))</f>
        <v/>
      </c>
      <c r="G34" s="41"/>
    </row>
    <row r="35" customFormat="false" ht="15" hidden="false" customHeight="false" outlineLevel="0" collapsed="false">
      <c r="A35" s="0" t="str">
        <f aca="false">IFERROR(SMALL('Master Task List'!$T$2:$T$600,34),"")</f>
        <v/>
      </c>
      <c r="B35" s="0" t="str">
        <f aca="false">IF($A35="","",INDEX('Master Task List'!$D:$D,$A35))</f>
        <v/>
      </c>
      <c r="C35" s="0" t="str">
        <f aca="false">IF($A35="","",INDEX('Master Task List'!$B:$B,$A35))</f>
        <v/>
      </c>
      <c r="D35" s="0" t="str">
        <f aca="false">IF($A35="","",INDEX('Master Task List'!$G:$G,$A35))</f>
        <v/>
      </c>
      <c r="E35" s="38" t="str">
        <f aca="false">IF($A35="","",INDEX('Master Task List'!$M:$M,$A35))</f>
        <v/>
      </c>
      <c r="F35" s="40" t="str">
        <f aca="false">IF($A35="","",INDEX('Master Task List'!$N:$N,$A35))</f>
        <v/>
      </c>
      <c r="G35" s="41"/>
    </row>
    <row r="36" customFormat="false" ht="15" hidden="false" customHeight="false" outlineLevel="0" collapsed="false">
      <c r="A36" s="0" t="str">
        <f aca="false">IFERROR(SMALL('Master Task List'!$T$2:$T$600,35),"")</f>
        <v/>
      </c>
      <c r="B36" s="0" t="str">
        <f aca="false">IF($A36="","",INDEX('Master Task List'!$D:$D,$A36))</f>
        <v/>
      </c>
      <c r="C36" s="0" t="str">
        <f aca="false">IF($A36="","",INDEX('Master Task List'!$B:$B,$A36))</f>
        <v/>
      </c>
      <c r="D36" s="0" t="str">
        <f aca="false">IF($A36="","",INDEX('Master Task List'!$G:$G,$A36))</f>
        <v/>
      </c>
      <c r="E36" s="38" t="str">
        <f aca="false">IF($A36="","",INDEX('Master Task List'!$M:$M,$A36))</f>
        <v/>
      </c>
      <c r="F36" s="40" t="str">
        <f aca="false">IF($A36="","",INDEX('Master Task List'!$N:$N,$A36))</f>
        <v/>
      </c>
      <c r="G36" s="41"/>
    </row>
    <row r="37" customFormat="false" ht="15" hidden="false" customHeight="false" outlineLevel="0" collapsed="false">
      <c r="A37" s="0" t="str">
        <f aca="false">IFERROR(SMALL('Master Task List'!$T$2:$T$600,36),"")</f>
        <v/>
      </c>
      <c r="B37" s="0" t="str">
        <f aca="false">IF($A37="","",INDEX('Master Task List'!$D:$D,$A37))</f>
        <v/>
      </c>
      <c r="C37" s="0" t="str">
        <f aca="false">IF($A37="","",INDEX('Master Task List'!$B:$B,$A37))</f>
        <v/>
      </c>
      <c r="D37" s="0" t="str">
        <f aca="false">IF($A37="","",INDEX('Master Task List'!$G:$G,$A37))</f>
        <v/>
      </c>
      <c r="E37" s="38" t="str">
        <f aca="false">IF($A37="","",INDEX('Master Task List'!$M:$M,$A37))</f>
        <v/>
      </c>
      <c r="F37" s="40" t="str">
        <f aca="false">IF($A37="","",INDEX('Master Task List'!$N:$N,$A37))</f>
        <v/>
      </c>
      <c r="G37" s="41"/>
    </row>
    <row r="38" customFormat="false" ht="15" hidden="false" customHeight="false" outlineLevel="0" collapsed="false">
      <c r="A38" s="0" t="str">
        <f aca="false">IFERROR(SMALL('Master Task List'!$T$2:$T$600,37),"")</f>
        <v/>
      </c>
      <c r="B38" s="0" t="str">
        <f aca="false">IF($A38="","",INDEX('Master Task List'!$D:$D,$A38))</f>
        <v/>
      </c>
      <c r="C38" s="0" t="str">
        <f aca="false">IF($A38="","",INDEX('Master Task List'!$B:$B,$A38))</f>
        <v/>
      </c>
      <c r="D38" s="0" t="str">
        <f aca="false">IF($A38="","",INDEX('Master Task List'!$G:$G,$A38))</f>
        <v/>
      </c>
      <c r="E38" s="38" t="str">
        <f aca="false">IF($A38="","",INDEX('Master Task List'!$M:$M,$A38))</f>
        <v/>
      </c>
      <c r="F38" s="40" t="str">
        <f aca="false">IF($A38="","",INDEX('Master Task List'!$N:$N,$A38))</f>
        <v/>
      </c>
      <c r="G38" s="41"/>
    </row>
    <row r="39" customFormat="false" ht="15" hidden="false" customHeight="false" outlineLevel="0" collapsed="false">
      <c r="A39" s="0" t="str">
        <f aca="false">IFERROR(SMALL('Master Task List'!$T$2:$T$600,38),"")</f>
        <v/>
      </c>
      <c r="B39" s="0" t="str">
        <f aca="false">IF($A39="","",INDEX('Master Task List'!$D:$D,$A39))</f>
        <v/>
      </c>
      <c r="C39" s="0" t="str">
        <f aca="false">IF($A39="","",INDEX('Master Task List'!$B:$B,$A39))</f>
        <v/>
      </c>
      <c r="D39" s="0" t="str">
        <f aca="false">IF($A39="","",INDEX('Master Task List'!$G:$G,$A39))</f>
        <v/>
      </c>
      <c r="E39" s="38" t="str">
        <f aca="false">IF($A39="","",INDEX('Master Task List'!$M:$M,$A39))</f>
        <v/>
      </c>
      <c r="F39" s="40" t="str">
        <f aca="false">IF($A39="","",INDEX('Master Task List'!$N:$N,$A39))</f>
        <v/>
      </c>
      <c r="G39" s="41"/>
    </row>
    <row r="40" customFormat="false" ht="15" hidden="false" customHeight="false" outlineLevel="0" collapsed="false">
      <c r="A40" s="0" t="str">
        <f aca="false">IFERROR(SMALL('Master Task List'!$T$2:$T$600,39),"")</f>
        <v/>
      </c>
      <c r="B40" s="0" t="str">
        <f aca="false">IF($A40="","",INDEX('Master Task List'!$D:$D,$A40))</f>
        <v/>
      </c>
      <c r="C40" s="0" t="str">
        <f aca="false">IF($A40="","",INDEX('Master Task List'!$B:$B,$A40))</f>
        <v/>
      </c>
      <c r="D40" s="0" t="str">
        <f aca="false">IF($A40="","",INDEX('Master Task List'!$G:$G,$A40))</f>
        <v/>
      </c>
      <c r="E40" s="38" t="str">
        <f aca="false">IF($A40="","",INDEX('Master Task List'!$M:$M,$A40))</f>
        <v/>
      </c>
      <c r="F40" s="40" t="str">
        <f aca="false">IF($A40="","",INDEX('Master Task List'!$N:$N,$A40))</f>
        <v/>
      </c>
      <c r="G40" s="41"/>
    </row>
    <row r="41" customFormat="false" ht="15" hidden="false" customHeight="false" outlineLevel="0" collapsed="false">
      <c r="A41" s="0" t="str">
        <f aca="false">IFERROR(SMALL('Master Task List'!$T$2:$T$600,40),"")</f>
        <v/>
      </c>
      <c r="B41" s="0" t="str">
        <f aca="false">IF($A41="","",INDEX('Master Task List'!$D:$D,$A41))</f>
        <v/>
      </c>
      <c r="C41" s="0" t="str">
        <f aca="false">IF($A41="","",INDEX('Master Task List'!$B:$B,$A41))</f>
        <v/>
      </c>
      <c r="D41" s="0" t="str">
        <f aca="false">IF($A41="","",INDEX('Master Task List'!$G:$G,$A41))</f>
        <v/>
      </c>
      <c r="E41" s="38" t="str">
        <f aca="false">IF($A41="","",INDEX('Master Task List'!$M:$M,$A41))</f>
        <v/>
      </c>
      <c r="F41" s="40" t="str">
        <f aca="false">IF($A41="","",INDEX('Master Task List'!$N:$N,$A41))</f>
        <v/>
      </c>
      <c r="G41" s="41"/>
    </row>
    <row r="42" customFormat="false" ht="15" hidden="false" customHeight="false" outlineLevel="0" collapsed="false">
      <c r="A42" s="0" t="str">
        <f aca="false">IFERROR(SMALL('Master Task List'!$T$2:$T$600,41),"")</f>
        <v/>
      </c>
      <c r="B42" s="0" t="str">
        <f aca="false">IF($A42="","",INDEX('Master Task List'!$D:$D,$A42))</f>
        <v/>
      </c>
      <c r="C42" s="0" t="str">
        <f aca="false">IF($A42="","",INDEX('Master Task List'!$B:$B,$A42))</f>
        <v/>
      </c>
      <c r="D42" s="0" t="str">
        <f aca="false">IF($A42="","",INDEX('Master Task List'!$G:$G,$A42))</f>
        <v/>
      </c>
      <c r="E42" s="38" t="str">
        <f aca="false">IF($A42="","",INDEX('Master Task List'!$M:$M,$A42))</f>
        <v/>
      </c>
      <c r="F42" s="40" t="str">
        <f aca="false">IF($A42="","",INDEX('Master Task List'!$N:$N,$A42))</f>
        <v/>
      </c>
      <c r="G42" s="41"/>
    </row>
    <row r="43" customFormat="false" ht="15" hidden="false" customHeight="false" outlineLevel="0" collapsed="false">
      <c r="A43" s="0" t="str">
        <f aca="false">IFERROR(SMALL('Master Task List'!$T$2:$T$600,42),"")</f>
        <v/>
      </c>
      <c r="B43" s="0" t="str">
        <f aca="false">IF($A43="","",INDEX('Master Task List'!$D:$D,$A43))</f>
        <v/>
      </c>
      <c r="C43" s="0" t="str">
        <f aca="false">IF($A43="","",INDEX('Master Task List'!$B:$B,$A43))</f>
        <v/>
      </c>
      <c r="D43" s="0" t="str">
        <f aca="false">IF($A43="","",INDEX('Master Task List'!$G:$G,$A43))</f>
        <v/>
      </c>
      <c r="E43" s="38" t="str">
        <f aca="false">IF($A43="","",INDEX('Master Task List'!$M:$M,$A43))</f>
        <v/>
      </c>
      <c r="F43" s="40" t="str">
        <f aca="false">IF($A43="","",INDEX('Master Task List'!$N:$N,$A43))</f>
        <v/>
      </c>
      <c r="G43" s="41"/>
    </row>
    <row r="44" customFormat="false" ht="15" hidden="false" customHeight="false" outlineLevel="0" collapsed="false">
      <c r="A44" s="0" t="str">
        <f aca="false">IFERROR(SMALL('Master Task List'!$T$2:$T$600,43),"")</f>
        <v/>
      </c>
      <c r="B44" s="0" t="str">
        <f aca="false">IF($A44="","",INDEX('Master Task List'!$D:$D,$A44))</f>
        <v/>
      </c>
      <c r="C44" s="0" t="str">
        <f aca="false">IF($A44="","",INDEX('Master Task List'!$B:$B,$A44))</f>
        <v/>
      </c>
      <c r="D44" s="0" t="str">
        <f aca="false">IF($A44="","",INDEX('Master Task List'!$G:$G,$A44))</f>
        <v/>
      </c>
      <c r="E44" s="38" t="str">
        <f aca="false">IF($A44="","",INDEX('Master Task List'!$M:$M,$A44))</f>
        <v/>
      </c>
      <c r="F44" s="40" t="str">
        <f aca="false">IF($A44="","",INDEX('Master Task List'!$N:$N,$A44))</f>
        <v/>
      </c>
      <c r="G44" s="41"/>
    </row>
    <row r="45" customFormat="false" ht="15" hidden="false" customHeight="false" outlineLevel="0" collapsed="false">
      <c r="A45" s="0" t="str">
        <f aca="false">IFERROR(SMALL('Master Task List'!$T$2:$T$600,44),"")</f>
        <v/>
      </c>
      <c r="B45" s="0" t="str">
        <f aca="false">IF($A45="","",INDEX('Master Task List'!$D:$D,$A45))</f>
        <v/>
      </c>
      <c r="C45" s="0" t="str">
        <f aca="false">IF($A45="","",INDEX('Master Task List'!$B:$B,$A45))</f>
        <v/>
      </c>
      <c r="D45" s="0" t="str">
        <f aca="false">IF($A45="","",INDEX('Master Task List'!$G:$G,$A45))</f>
        <v/>
      </c>
      <c r="E45" s="38" t="str">
        <f aca="false">IF($A45="","",INDEX('Master Task List'!$M:$M,$A45))</f>
        <v/>
      </c>
      <c r="F45" s="40" t="str">
        <f aca="false">IF($A45="","",INDEX('Master Task List'!$N:$N,$A45))</f>
        <v/>
      </c>
      <c r="G45" s="41"/>
    </row>
    <row r="46" customFormat="false" ht="15" hidden="false" customHeight="false" outlineLevel="0" collapsed="false">
      <c r="A46" s="0" t="str">
        <f aca="false">IFERROR(SMALL('Master Task List'!$T$2:$T$600,45),"")</f>
        <v/>
      </c>
      <c r="B46" s="0" t="str">
        <f aca="false">IF($A46="","",INDEX('Master Task List'!$D:$D,$A46))</f>
        <v/>
      </c>
      <c r="C46" s="0" t="str">
        <f aca="false">IF($A46="","",INDEX('Master Task List'!$B:$B,$A46))</f>
        <v/>
      </c>
      <c r="D46" s="0" t="str">
        <f aca="false">IF($A46="","",INDEX('Master Task List'!$G:$G,$A46))</f>
        <v/>
      </c>
      <c r="E46" s="38" t="str">
        <f aca="false">IF($A46="","",INDEX('Master Task List'!$M:$M,$A46))</f>
        <v/>
      </c>
      <c r="F46" s="40" t="str">
        <f aca="false">IF($A46="","",INDEX('Master Task List'!$N:$N,$A46))</f>
        <v/>
      </c>
      <c r="G46" s="41"/>
    </row>
    <row r="47" customFormat="false" ht="15" hidden="false" customHeight="false" outlineLevel="0" collapsed="false">
      <c r="A47" s="0" t="str">
        <f aca="false">IFERROR(SMALL('Master Task List'!$T$2:$T$600,46),"")</f>
        <v/>
      </c>
      <c r="B47" s="0" t="str">
        <f aca="false">IF($A47="","",INDEX('Master Task List'!$D:$D,$A47))</f>
        <v/>
      </c>
      <c r="C47" s="0" t="str">
        <f aca="false">IF($A47="","",INDEX('Master Task List'!$B:$B,$A47))</f>
        <v/>
      </c>
      <c r="D47" s="0" t="str">
        <f aca="false">IF($A47="","",INDEX('Master Task List'!$G:$G,$A47))</f>
        <v/>
      </c>
      <c r="E47" s="38" t="str">
        <f aca="false">IF($A47="","",INDEX('Master Task List'!$M:$M,$A47))</f>
        <v/>
      </c>
      <c r="F47" s="40" t="str">
        <f aca="false">IF($A47="","",INDEX('Master Task List'!$N:$N,$A47))</f>
        <v/>
      </c>
      <c r="G47" s="41"/>
    </row>
    <row r="48" customFormat="false" ht="15" hidden="false" customHeight="false" outlineLevel="0" collapsed="false">
      <c r="A48" s="0" t="str">
        <f aca="false">IFERROR(SMALL('Master Task List'!$T$2:$T$600,47),"")</f>
        <v/>
      </c>
      <c r="B48" s="0" t="str">
        <f aca="false">IF($A48="","",INDEX('Master Task List'!$D:$D,$A48))</f>
        <v/>
      </c>
      <c r="C48" s="0" t="str">
        <f aca="false">IF($A48="","",INDEX('Master Task List'!$B:$B,$A48))</f>
        <v/>
      </c>
      <c r="D48" s="0" t="str">
        <f aca="false">IF($A48="","",INDEX('Master Task List'!$G:$G,$A48))</f>
        <v/>
      </c>
      <c r="E48" s="38" t="str">
        <f aca="false">IF($A48="","",INDEX('Master Task List'!$M:$M,$A48))</f>
        <v/>
      </c>
      <c r="F48" s="40" t="str">
        <f aca="false">IF($A48="","",INDEX('Master Task List'!$N:$N,$A48))</f>
        <v/>
      </c>
      <c r="G48" s="41"/>
    </row>
    <row r="49" customFormat="false" ht="15" hidden="false" customHeight="false" outlineLevel="0" collapsed="false">
      <c r="A49" s="0" t="str">
        <f aca="false">IFERROR(SMALL('Master Task List'!$T$2:$T$600,48),"")</f>
        <v/>
      </c>
      <c r="B49" s="0" t="str">
        <f aca="false">IF($A49="","",INDEX('Master Task List'!$D:$D,$A49))</f>
        <v/>
      </c>
      <c r="C49" s="0" t="str">
        <f aca="false">IF($A49="","",INDEX('Master Task List'!$B:$B,$A49))</f>
        <v/>
      </c>
      <c r="D49" s="0" t="str">
        <f aca="false">IF($A49="","",INDEX('Master Task List'!$G:$G,$A49))</f>
        <v/>
      </c>
      <c r="E49" s="38" t="str">
        <f aca="false">IF($A49="","",INDEX('Master Task List'!$M:$M,$A49))</f>
        <v/>
      </c>
      <c r="F49" s="40" t="str">
        <f aca="false">IF($A49="","",INDEX('Master Task List'!$N:$N,$A49))</f>
        <v/>
      </c>
      <c r="G49" s="41"/>
    </row>
    <row r="50" customFormat="false" ht="15" hidden="false" customHeight="false" outlineLevel="0" collapsed="false">
      <c r="A50" s="0" t="str">
        <f aca="false">IFERROR(SMALL('Master Task List'!$T$2:$T$600,49),"")</f>
        <v/>
      </c>
      <c r="B50" s="0" t="str">
        <f aca="false">IF($A50="","",INDEX('Master Task List'!$D:$D,$A50))</f>
        <v/>
      </c>
      <c r="C50" s="0" t="str">
        <f aca="false">IF($A50="","",INDEX('Master Task List'!$B:$B,$A50))</f>
        <v/>
      </c>
      <c r="D50" s="0" t="str">
        <f aca="false">IF($A50="","",INDEX('Master Task List'!$G:$G,$A50))</f>
        <v/>
      </c>
      <c r="E50" s="38" t="str">
        <f aca="false">IF($A50="","",INDEX('Master Task List'!$M:$M,$A50))</f>
        <v/>
      </c>
      <c r="F50" s="40" t="str">
        <f aca="false">IF($A50="","",INDEX('Master Task List'!$N:$N,$A50))</f>
        <v/>
      </c>
      <c r="G50" s="41"/>
    </row>
    <row r="51" customFormat="false" ht="15" hidden="false" customHeight="false" outlineLevel="0" collapsed="false">
      <c r="A51" s="0" t="str">
        <f aca="false">IFERROR(SMALL('Master Task List'!$T$2:$T$600,50),"")</f>
        <v/>
      </c>
      <c r="B51" s="0" t="str">
        <f aca="false">IF($A51="","",INDEX('Master Task List'!$D:$D,$A51))</f>
        <v/>
      </c>
      <c r="C51" s="0" t="str">
        <f aca="false">IF($A51="","",INDEX('Master Task List'!$B:$B,$A51))</f>
        <v/>
      </c>
      <c r="D51" s="0" t="str">
        <f aca="false">IF($A51="","",INDEX('Master Task List'!$G:$G,$A51))</f>
        <v/>
      </c>
      <c r="E51" s="38" t="str">
        <f aca="false">IF($A51="","",INDEX('Master Task List'!$M:$M,$A51))</f>
        <v/>
      </c>
      <c r="F51" s="40" t="str">
        <f aca="false">IF($A51="","",INDEX('Master Task List'!$N:$N,$A51))</f>
        <v/>
      </c>
      <c r="G51" s="41"/>
    </row>
    <row r="52" customFormat="false" ht="15" hidden="false" customHeight="false" outlineLevel="0" collapsed="false">
      <c r="A52" s="0" t="str">
        <f aca="false">IFERROR(SMALL('Master Task List'!$T$2:$T$600,51),"")</f>
        <v/>
      </c>
      <c r="B52" s="0" t="str">
        <f aca="false">IF($A52="","",INDEX('Master Task List'!$D:$D,$A52))</f>
        <v/>
      </c>
      <c r="C52" s="0" t="str">
        <f aca="false">IF($A52="","",INDEX('Master Task List'!$B:$B,$A52))</f>
        <v/>
      </c>
      <c r="D52" s="0" t="str">
        <f aca="false">IF($A52="","",INDEX('Master Task List'!$G:$G,$A52))</f>
        <v/>
      </c>
      <c r="E52" s="38" t="str">
        <f aca="false">IF($A52="","",INDEX('Master Task List'!$M:$M,$A52))</f>
        <v/>
      </c>
      <c r="F52" s="40" t="str">
        <f aca="false">IF($A52="","",INDEX('Master Task List'!$N:$N,$A52))</f>
        <v/>
      </c>
      <c r="G52" s="41"/>
    </row>
    <row r="53" customFormat="false" ht="15" hidden="false" customHeight="false" outlineLevel="0" collapsed="false">
      <c r="A53" s="0" t="str">
        <f aca="false">IFERROR(SMALL('Master Task List'!$T$2:$T$600,52),"")</f>
        <v/>
      </c>
      <c r="B53" s="0" t="str">
        <f aca="false">IF($A53="","",INDEX('Master Task List'!$D:$D,$A53))</f>
        <v/>
      </c>
      <c r="C53" s="0" t="str">
        <f aca="false">IF($A53="","",INDEX('Master Task List'!$B:$B,$A53))</f>
        <v/>
      </c>
      <c r="D53" s="0" t="str">
        <f aca="false">IF($A53="","",INDEX('Master Task List'!$G:$G,$A53))</f>
        <v/>
      </c>
      <c r="E53" s="38" t="str">
        <f aca="false">IF($A53="","",INDEX('Master Task List'!$M:$M,$A53))</f>
        <v/>
      </c>
      <c r="F53" s="40" t="str">
        <f aca="false">IF($A53="","",INDEX('Master Task List'!$N:$N,$A53))</f>
        <v/>
      </c>
      <c r="G53" s="41"/>
    </row>
    <row r="54" customFormat="false" ht="15" hidden="false" customHeight="false" outlineLevel="0" collapsed="false">
      <c r="A54" s="0" t="str">
        <f aca="false">IFERROR(SMALL('Master Task List'!$T$2:$T$600,53),"")</f>
        <v/>
      </c>
      <c r="B54" s="0" t="str">
        <f aca="false">IF($A54="","",INDEX('Master Task List'!$D:$D,$A54))</f>
        <v/>
      </c>
      <c r="C54" s="0" t="str">
        <f aca="false">IF($A54="","",INDEX('Master Task List'!$B:$B,$A54))</f>
        <v/>
      </c>
      <c r="D54" s="0" t="str">
        <f aca="false">IF($A54="","",INDEX('Master Task List'!$G:$G,$A54))</f>
        <v/>
      </c>
      <c r="E54" s="38" t="str">
        <f aca="false">IF($A54="","",INDEX('Master Task List'!$M:$M,$A54))</f>
        <v/>
      </c>
      <c r="F54" s="40" t="str">
        <f aca="false">IF($A54="","",INDEX('Master Task List'!$N:$N,$A54))</f>
        <v/>
      </c>
      <c r="G54" s="41"/>
    </row>
    <row r="55" customFormat="false" ht="15" hidden="false" customHeight="false" outlineLevel="0" collapsed="false">
      <c r="A55" s="0" t="str">
        <f aca="false">IFERROR(SMALL('Master Task List'!$T$2:$T$600,54),"")</f>
        <v/>
      </c>
      <c r="B55" s="0" t="str">
        <f aca="false">IF($A55="","",INDEX('Master Task List'!$D:$D,$A55))</f>
        <v/>
      </c>
      <c r="C55" s="0" t="str">
        <f aca="false">IF($A55="","",INDEX('Master Task List'!$B:$B,$A55))</f>
        <v/>
      </c>
      <c r="D55" s="0" t="str">
        <f aca="false">IF($A55="","",INDEX('Master Task List'!$G:$G,$A55))</f>
        <v/>
      </c>
      <c r="E55" s="38" t="str">
        <f aca="false">IF($A55="","",INDEX('Master Task List'!$M:$M,$A55))</f>
        <v/>
      </c>
      <c r="F55" s="40" t="str">
        <f aca="false">IF($A55="","",INDEX('Master Task List'!$N:$N,$A55))</f>
        <v/>
      </c>
      <c r="G55" s="41"/>
    </row>
    <row r="56" customFormat="false" ht="15" hidden="false" customHeight="false" outlineLevel="0" collapsed="false">
      <c r="A56" s="0" t="str">
        <f aca="false">IFERROR(SMALL('Master Task List'!$T$2:$T$600,55),"")</f>
        <v/>
      </c>
      <c r="B56" s="0" t="str">
        <f aca="false">IF($A56="","",INDEX('Master Task List'!$D:$D,$A56))</f>
        <v/>
      </c>
      <c r="C56" s="0" t="str">
        <f aca="false">IF($A56="","",INDEX('Master Task List'!$B:$B,$A56))</f>
        <v/>
      </c>
      <c r="D56" s="0" t="str">
        <f aca="false">IF($A56="","",INDEX('Master Task List'!$G:$G,$A56))</f>
        <v/>
      </c>
      <c r="E56" s="38" t="str">
        <f aca="false">IF($A56="","",INDEX('Master Task List'!$M:$M,$A56))</f>
        <v/>
      </c>
      <c r="F56" s="40" t="str">
        <f aca="false">IF($A56="","",INDEX('Master Task List'!$N:$N,$A56))</f>
        <v/>
      </c>
      <c r="G56" s="41"/>
    </row>
    <row r="57" customFormat="false" ht="15" hidden="false" customHeight="false" outlineLevel="0" collapsed="false">
      <c r="A57" s="0" t="str">
        <f aca="false">IFERROR(SMALL('Master Task List'!$T$2:$T$600,56),"")</f>
        <v/>
      </c>
      <c r="B57" s="0" t="str">
        <f aca="false">IF($A57="","",INDEX('Master Task List'!$D:$D,$A57))</f>
        <v/>
      </c>
      <c r="C57" s="0" t="str">
        <f aca="false">IF($A57="","",INDEX('Master Task List'!$B:$B,$A57))</f>
        <v/>
      </c>
      <c r="D57" s="0" t="str">
        <f aca="false">IF($A57="","",INDEX('Master Task List'!$G:$G,$A57))</f>
        <v/>
      </c>
      <c r="E57" s="38" t="str">
        <f aca="false">IF($A57="","",INDEX('Master Task List'!$M:$M,$A57))</f>
        <v/>
      </c>
      <c r="F57" s="40" t="str">
        <f aca="false">IF($A57="","",INDEX('Master Task List'!$N:$N,$A57))</f>
        <v/>
      </c>
      <c r="G57" s="41"/>
    </row>
    <row r="58" customFormat="false" ht="15" hidden="false" customHeight="false" outlineLevel="0" collapsed="false">
      <c r="A58" s="0" t="str">
        <f aca="false">IFERROR(SMALL('Master Task List'!$T$2:$T$600,57),"")</f>
        <v/>
      </c>
      <c r="B58" s="0" t="str">
        <f aca="false">IF($A58="","",INDEX('Master Task List'!$D:$D,$A58))</f>
        <v/>
      </c>
      <c r="C58" s="0" t="str">
        <f aca="false">IF($A58="","",INDEX('Master Task List'!$B:$B,$A58))</f>
        <v/>
      </c>
      <c r="D58" s="0" t="str">
        <f aca="false">IF($A58="","",INDEX('Master Task List'!$G:$G,$A58))</f>
        <v/>
      </c>
      <c r="E58" s="38" t="str">
        <f aca="false">IF($A58="","",INDEX('Master Task List'!$M:$M,$A58))</f>
        <v/>
      </c>
      <c r="F58" s="40" t="str">
        <f aca="false">IF($A58="","",INDEX('Master Task List'!$N:$N,$A58))</f>
        <v/>
      </c>
      <c r="G58" s="41"/>
    </row>
    <row r="59" customFormat="false" ht="15" hidden="false" customHeight="false" outlineLevel="0" collapsed="false">
      <c r="A59" s="0" t="str">
        <f aca="false">IFERROR(SMALL('Master Task List'!$T$2:$T$600,58),"")</f>
        <v/>
      </c>
      <c r="B59" s="0" t="str">
        <f aca="false">IF($A59="","",INDEX('Master Task List'!$D:$D,$A59))</f>
        <v/>
      </c>
      <c r="C59" s="0" t="str">
        <f aca="false">IF($A59="","",INDEX('Master Task List'!$B:$B,$A59))</f>
        <v/>
      </c>
      <c r="D59" s="0" t="str">
        <f aca="false">IF($A59="","",INDEX('Master Task List'!$G:$G,$A59))</f>
        <v/>
      </c>
      <c r="E59" s="38" t="str">
        <f aca="false">IF($A59="","",INDEX('Master Task List'!$M:$M,$A59))</f>
        <v/>
      </c>
      <c r="F59" s="40" t="str">
        <f aca="false">IF($A59="","",INDEX('Master Task List'!$N:$N,$A59))</f>
        <v/>
      </c>
      <c r="G59" s="41"/>
    </row>
    <row r="60" customFormat="false" ht="15" hidden="false" customHeight="false" outlineLevel="0" collapsed="false">
      <c r="A60" s="0" t="str">
        <f aca="false">IFERROR(SMALL('Master Task List'!$T$2:$T$600,59),"")</f>
        <v/>
      </c>
      <c r="B60" s="0" t="str">
        <f aca="false">IF($A60="","",INDEX('Master Task List'!$D:$D,$A60))</f>
        <v/>
      </c>
      <c r="C60" s="0" t="str">
        <f aca="false">IF($A60="","",INDEX('Master Task List'!$B:$B,$A60))</f>
        <v/>
      </c>
      <c r="D60" s="0" t="str">
        <f aca="false">IF($A60="","",INDEX('Master Task List'!$G:$G,$A60))</f>
        <v/>
      </c>
      <c r="E60" s="38" t="str">
        <f aca="false">IF($A60="","",INDEX('Master Task List'!$M:$M,$A60))</f>
        <v/>
      </c>
      <c r="F60" s="40" t="str">
        <f aca="false">IF($A60="","",INDEX('Master Task List'!$N:$N,$A60))</f>
        <v/>
      </c>
      <c r="G60" s="41"/>
    </row>
    <row r="61" customFormat="false" ht="15" hidden="false" customHeight="false" outlineLevel="0" collapsed="false">
      <c r="A61" s="0" t="str">
        <f aca="false">IFERROR(SMALL('Master Task List'!$T$2:$T$600,60),"")</f>
        <v/>
      </c>
      <c r="B61" s="0" t="str">
        <f aca="false">IF($A61="","",INDEX('Master Task List'!$D:$D,$A61))</f>
        <v/>
      </c>
      <c r="C61" s="0" t="str">
        <f aca="false">IF($A61="","",INDEX('Master Task List'!$B:$B,$A61))</f>
        <v/>
      </c>
      <c r="D61" s="0" t="str">
        <f aca="false">IF($A61="","",INDEX('Master Task List'!$G:$G,$A61))</f>
        <v/>
      </c>
      <c r="E61" s="38" t="str">
        <f aca="false">IF($A61="","",INDEX('Master Task List'!$M:$M,$A61))</f>
        <v/>
      </c>
      <c r="F61" s="40" t="str">
        <f aca="false">IF($A61="","",INDEX('Master Task List'!$N:$N,$A61))</f>
        <v/>
      </c>
      <c r="G61" s="41"/>
    </row>
    <row r="62" customFormat="false" ht="15" hidden="false" customHeight="false" outlineLevel="0" collapsed="false">
      <c r="A62" s="0" t="str">
        <f aca="false">IFERROR(SMALL('Master Task List'!$T$2:$T$600,61),"")</f>
        <v/>
      </c>
      <c r="B62" s="0" t="str">
        <f aca="false">IF($A62="","",INDEX('Master Task List'!$D:$D,$A62))</f>
        <v/>
      </c>
      <c r="C62" s="0" t="str">
        <f aca="false">IF($A62="","",INDEX('Master Task List'!$B:$B,$A62))</f>
        <v/>
      </c>
      <c r="D62" s="0" t="str">
        <f aca="false">IF($A62="","",INDEX('Master Task List'!$G:$G,$A62))</f>
        <v/>
      </c>
      <c r="E62" s="38" t="str">
        <f aca="false">IF($A62="","",INDEX('Master Task List'!$M:$M,$A62))</f>
        <v/>
      </c>
      <c r="F62" s="40" t="str">
        <f aca="false">IF($A62="","",INDEX('Master Task List'!$N:$N,$A62))</f>
        <v/>
      </c>
      <c r="G62" s="41"/>
    </row>
    <row r="63" customFormat="false" ht="15" hidden="false" customHeight="false" outlineLevel="0" collapsed="false">
      <c r="A63" s="0" t="str">
        <f aca="false">IFERROR(SMALL('Master Task List'!$T$2:$T$600,62),"")</f>
        <v/>
      </c>
      <c r="B63" s="0" t="str">
        <f aca="false">IF($A63="","",INDEX('Master Task List'!$D:$D,$A63))</f>
        <v/>
      </c>
      <c r="C63" s="0" t="str">
        <f aca="false">IF($A63="","",INDEX('Master Task List'!$B:$B,$A63))</f>
        <v/>
      </c>
      <c r="D63" s="0" t="str">
        <f aca="false">IF($A63="","",INDEX('Master Task List'!$G:$G,$A63))</f>
        <v/>
      </c>
      <c r="E63" s="38" t="str">
        <f aca="false">IF($A63="","",INDEX('Master Task List'!$M:$M,$A63))</f>
        <v/>
      </c>
      <c r="F63" s="40" t="str">
        <f aca="false">IF($A63="","",INDEX('Master Task List'!$N:$N,$A63))</f>
        <v/>
      </c>
      <c r="G63" s="41"/>
    </row>
    <row r="64" customFormat="false" ht="15" hidden="false" customHeight="false" outlineLevel="0" collapsed="false">
      <c r="A64" s="0" t="str">
        <f aca="false">IFERROR(SMALL('Master Task List'!$T$2:$T$600,63),"")</f>
        <v/>
      </c>
      <c r="B64" s="0" t="str">
        <f aca="false">IF($A64="","",INDEX('Master Task List'!$D:$D,$A64))</f>
        <v/>
      </c>
      <c r="C64" s="0" t="str">
        <f aca="false">IF($A64="","",INDEX('Master Task List'!$B:$B,$A64))</f>
        <v/>
      </c>
      <c r="D64" s="0" t="str">
        <f aca="false">IF($A64="","",INDEX('Master Task List'!$G:$G,$A64))</f>
        <v/>
      </c>
      <c r="E64" s="38" t="str">
        <f aca="false">IF($A64="","",INDEX('Master Task List'!$M:$M,$A64))</f>
        <v/>
      </c>
      <c r="F64" s="40" t="str">
        <f aca="false">IF($A64="","",INDEX('Master Task List'!$N:$N,$A64))</f>
        <v/>
      </c>
      <c r="G64" s="41"/>
    </row>
    <row r="65" customFormat="false" ht="15" hidden="false" customHeight="false" outlineLevel="0" collapsed="false">
      <c r="A65" s="0" t="str">
        <f aca="false">IFERROR(SMALL('Master Task List'!$T$2:$T$600,64),"")</f>
        <v/>
      </c>
      <c r="B65" s="0" t="str">
        <f aca="false">IF($A65="","",INDEX('Master Task List'!$D:$D,$A65))</f>
        <v/>
      </c>
      <c r="C65" s="0" t="str">
        <f aca="false">IF($A65="","",INDEX('Master Task List'!$B:$B,$A65))</f>
        <v/>
      </c>
      <c r="D65" s="0" t="str">
        <f aca="false">IF($A65="","",INDEX('Master Task List'!$G:$G,$A65))</f>
        <v/>
      </c>
      <c r="E65" s="38" t="str">
        <f aca="false">IF($A65="","",INDEX('Master Task List'!$M:$M,$A65))</f>
        <v/>
      </c>
      <c r="F65" s="40" t="str">
        <f aca="false">IF($A65="","",INDEX('Master Task List'!$N:$N,$A65))</f>
        <v/>
      </c>
      <c r="G65" s="41"/>
    </row>
    <row r="66" customFormat="false" ht="15" hidden="false" customHeight="false" outlineLevel="0" collapsed="false">
      <c r="A66" s="0" t="str">
        <f aca="false">IFERROR(SMALL('Master Task List'!$T$2:$T$600,65),"")</f>
        <v/>
      </c>
      <c r="B66" s="0" t="str">
        <f aca="false">IF($A66="","",INDEX('Master Task List'!$D:$D,$A66))</f>
        <v/>
      </c>
      <c r="C66" s="0" t="str">
        <f aca="false">IF($A66="","",INDEX('Master Task List'!$B:$B,$A66))</f>
        <v/>
      </c>
      <c r="D66" s="0" t="str">
        <f aca="false">IF($A66="","",INDEX('Master Task List'!$G:$G,$A66))</f>
        <v/>
      </c>
      <c r="E66" s="38" t="str">
        <f aca="false">IF($A66="","",INDEX('Master Task List'!$M:$M,$A66))</f>
        <v/>
      </c>
      <c r="F66" s="40" t="str">
        <f aca="false">IF($A66="","",INDEX('Master Task List'!$N:$N,$A66))</f>
        <v/>
      </c>
      <c r="G66" s="41"/>
    </row>
    <row r="67" customFormat="false" ht="15" hidden="false" customHeight="false" outlineLevel="0" collapsed="false">
      <c r="A67" s="0" t="str">
        <f aca="false">IFERROR(SMALL('Master Task List'!$T$2:$T$600,66),"")</f>
        <v/>
      </c>
      <c r="B67" s="0" t="str">
        <f aca="false">IF($A67="","",INDEX('Master Task List'!$D:$D,$A67))</f>
        <v/>
      </c>
      <c r="C67" s="0" t="str">
        <f aca="false">IF($A67="","",INDEX('Master Task List'!$B:$B,$A67))</f>
        <v/>
      </c>
      <c r="D67" s="0" t="str">
        <f aca="false">IF($A67="","",INDEX('Master Task List'!$G:$G,$A67))</f>
        <v/>
      </c>
      <c r="E67" s="38" t="str">
        <f aca="false">IF($A67="","",INDEX('Master Task List'!$M:$M,$A67))</f>
        <v/>
      </c>
      <c r="F67" s="40" t="str">
        <f aca="false">IF($A67="","",INDEX('Master Task List'!$N:$N,$A67))</f>
        <v/>
      </c>
      <c r="G67" s="41"/>
    </row>
    <row r="68" customFormat="false" ht="15" hidden="false" customHeight="false" outlineLevel="0" collapsed="false">
      <c r="A68" s="0" t="str">
        <f aca="false">IFERROR(SMALL('Master Task List'!$T$2:$T$600,67),"")</f>
        <v/>
      </c>
      <c r="B68" s="0" t="str">
        <f aca="false">IF($A68="","",INDEX('Master Task List'!$D:$D,$A68))</f>
        <v/>
      </c>
      <c r="C68" s="0" t="str">
        <f aca="false">IF($A68="","",INDEX('Master Task List'!$B:$B,$A68))</f>
        <v/>
      </c>
      <c r="D68" s="0" t="str">
        <f aca="false">IF($A68="","",INDEX('Master Task List'!$G:$G,$A68))</f>
        <v/>
      </c>
      <c r="E68" s="38" t="str">
        <f aca="false">IF($A68="","",INDEX('Master Task List'!$M:$M,$A68))</f>
        <v/>
      </c>
      <c r="F68" s="40" t="str">
        <f aca="false">IF($A68="","",INDEX('Master Task List'!$N:$N,$A68))</f>
        <v/>
      </c>
      <c r="G68" s="41"/>
    </row>
    <row r="69" customFormat="false" ht="15" hidden="false" customHeight="false" outlineLevel="0" collapsed="false">
      <c r="A69" s="0" t="str">
        <f aca="false">IFERROR(SMALL('Master Task List'!$T$2:$T$600,68),"")</f>
        <v/>
      </c>
      <c r="B69" s="0" t="str">
        <f aca="false">IF($A69="","",INDEX('Master Task List'!$D:$D,$A69))</f>
        <v/>
      </c>
      <c r="C69" s="0" t="str">
        <f aca="false">IF($A69="","",INDEX('Master Task List'!$B:$B,$A69))</f>
        <v/>
      </c>
      <c r="D69" s="0" t="str">
        <f aca="false">IF($A69="","",INDEX('Master Task List'!$G:$G,$A69))</f>
        <v/>
      </c>
      <c r="E69" s="38" t="str">
        <f aca="false">IF($A69="","",INDEX('Master Task List'!$M:$M,$A69))</f>
        <v/>
      </c>
      <c r="F69" s="40" t="str">
        <f aca="false">IF($A69="","",INDEX('Master Task List'!$N:$N,$A69))</f>
        <v/>
      </c>
      <c r="G69" s="41"/>
    </row>
    <row r="70" customFormat="false" ht="15" hidden="false" customHeight="false" outlineLevel="0" collapsed="false">
      <c r="A70" s="0" t="str">
        <f aca="false">IFERROR(SMALL('Master Task List'!$T$2:$T$600,69),"")</f>
        <v/>
      </c>
      <c r="B70" s="0" t="str">
        <f aca="false">IF($A70="","",INDEX('Master Task List'!$D:$D,$A70))</f>
        <v/>
      </c>
      <c r="C70" s="0" t="str">
        <f aca="false">IF($A70="","",INDEX('Master Task List'!$B:$B,$A70))</f>
        <v/>
      </c>
      <c r="D70" s="0" t="str">
        <f aca="false">IF($A70="","",INDEX('Master Task List'!$G:$G,$A70))</f>
        <v/>
      </c>
      <c r="E70" s="38" t="str">
        <f aca="false">IF($A70="","",INDEX('Master Task List'!$M:$M,$A70))</f>
        <v/>
      </c>
      <c r="F70" s="40" t="str">
        <f aca="false">IF($A70="","",INDEX('Master Task List'!$N:$N,$A70))</f>
        <v/>
      </c>
      <c r="G70" s="41"/>
    </row>
    <row r="71" customFormat="false" ht="15" hidden="false" customHeight="false" outlineLevel="0" collapsed="false">
      <c r="A71" s="0" t="str">
        <f aca="false">IFERROR(SMALL('Master Task List'!$T$2:$T$600,70),"")</f>
        <v/>
      </c>
      <c r="B71" s="0" t="str">
        <f aca="false">IF($A71="","",INDEX('Master Task List'!$D:$D,$A71))</f>
        <v/>
      </c>
      <c r="C71" s="0" t="str">
        <f aca="false">IF($A71="","",INDEX('Master Task List'!$B:$B,$A71))</f>
        <v/>
      </c>
      <c r="D71" s="0" t="str">
        <f aca="false">IF($A71="","",INDEX('Master Task List'!$G:$G,$A71))</f>
        <v/>
      </c>
      <c r="E71" s="38" t="str">
        <f aca="false">IF($A71="","",INDEX('Master Task List'!$M:$M,$A71))</f>
        <v/>
      </c>
      <c r="F71" s="40" t="str">
        <f aca="false">IF($A71="","",INDEX('Master Task List'!$N:$N,$A71))</f>
        <v/>
      </c>
      <c r="G71" s="41"/>
    </row>
    <row r="72" customFormat="false" ht="15" hidden="false" customHeight="false" outlineLevel="0" collapsed="false">
      <c r="A72" s="0" t="str">
        <f aca="false">IFERROR(SMALL('Master Task List'!$T$2:$T$600,71),"")</f>
        <v/>
      </c>
      <c r="B72" s="0" t="str">
        <f aca="false">IF($A72="","",INDEX('Master Task List'!$D:$D,$A72))</f>
        <v/>
      </c>
      <c r="C72" s="0" t="str">
        <f aca="false">IF($A72="","",INDEX('Master Task List'!$B:$B,$A72))</f>
        <v/>
      </c>
      <c r="D72" s="0" t="str">
        <f aca="false">IF($A72="","",INDEX('Master Task List'!$G:$G,$A72))</f>
        <v/>
      </c>
      <c r="E72" s="38" t="str">
        <f aca="false">IF($A72="","",INDEX('Master Task List'!$M:$M,$A72))</f>
        <v/>
      </c>
      <c r="F72" s="40" t="str">
        <f aca="false">IF($A72="","",INDEX('Master Task List'!$N:$N,$A72))</f>
        <v/>
      </c>
      <c r="G72" s="41"/>
    </row>
    <row r="73" customFormat="false" ht="15" hidden="false" customHeight="false" outlineLevel="0" collapsed="false">
      <c r="A73" s="0" t="str">
        <f aca="false">IFERROR(SMALL('Master Task List'!$T$2:$T$600,72),"")</f>
        <v/>
      </c>
      <c r="B73" s="0" t="str">
        <f aca="false">IF($A73="","",INDEX('Master Task List'!$D:$D,$A73))</f>
        <v/>
      </c>
      <c r="C73" s="0" t="str">
        <f aca="false">IF($A73="","",INDEX('Master Task List'!$B:$B,$A73))</f>
        <v/>
      </c>
      <c r="D73" s="0" t="str">
        <f aca="false">IF($A73="","",INDEX('Master Task List'!$G:$G,$A73))</f>
        <v/>
      </c>
      <c r="E73" s="38" t="str">
        <f aca="false">IF($A73="","",INDEX('Master Task List'!$M:$M,$A73))</f>
        <v/>
      </c>
      <c r="F73" s="40" t="str">
        <f aca="false">IF($A73="","",INDEX('Master Task List'!$N:$N,$A73))</f>
        <v/>
      </c>
      <c r="G73" s="41"/>
    </row>
    <row r="74" customFormat="false" ht="15" hidden="false" customHeight="false" outlineLevel="0" collapsed="false">
      <c r="A74" s="0" t="str">
        <f aca="false">IFERROR(SMALL('Master Task List'!$T$2:$T$600,73),"")</f>
        <v/>
      </c>
      <c r="B74" s="0" t="str">
        <f aca="false">IF($A74="","",INDEX('Master Task List'!$D:$D,$A74))</f>
        <v/>
      </c>
      <c r="C74" s="0" t="str">
        <f aca="false">IF($A74="","",INDEX('Master Task List'!$B:$B,$A74))</f>
        <v/>
      </c>
      <c r="D74" s="0" t="str">
        <f aca="false">IF($A74="","",INDEX('Master Task List'!$G:$G,$A74))</f>
        <v/>
      </c>
      <c r="E74" s="38" t="str">
        <f aca="false">IF($A74="","",INDEX('Master Task List'!$M:$M,$A74))</f>
        <v/>
      </c>
      <c r="F74" s="40" t="str">
        <f aca="false">IF($A74="","",INDEX('Master Task List'!$N:$N,$A74))</f>
        <v/>
      </c>
      <c r="G74" s="41"/>
    </row>
    <row r="75" customFormat="false" ht="15" hidden="false" customHeight="false" outlineLevel="0" collapsed="false">
      <c r="A75" s="0" t="str">
        <f aca="false">IFERROR(SMALL('Master Task List'!$T$2:$T$600,74),"")</f>
        <v/>
      </c>
      <c r="B75" s="0" t="str">
        <f aca="false">IF($A75="","",INDEX('Master Task List'!$D:$D,$A75))</f>
        <v/>
      </c>
      <c r="C75" s="0" t="str">
        <f aca="false">IF($A75="","",INDEX('Master Task List'!$B:$B,$A75))</f>
        <v/>
      </c>
      <c r="D75" s="0" t="str">
        <f aca="false">IF($A75="","",INDEX('Master Task List'!$G:$G,$A75))</f>
        <v/>
      </c>
      <c r="E75" s="38" t="str">
        <f aca="false">IF($A75="","",INDEX('Master Task List'!$M:$M,$A75))</f>
        <v/>
      </c>
      <c r="F75" s="40" t="str">
        <f aca="false">IF($A75="","",INDEX('Master Task List'!$N:$N,$A75))</f>
        <v/>
      </c>
      <c r="G75" s="41"/>
    </row>
    <row r="76" customFormat="false" ht="15" hidden="false" customHeight="false" outlineLevel="0" collapsed="false">
      <c r="A76" s="0" t="str">
        <f aca="false">IFERROR(SMALL('Master Task List'!$T$2:$T$600,75),"")</f>
        <v/>
      </c>
      <c r="B76" s="0" t="str">
        <f aca="false">IF($A76="","",INDEX('Master Task List'!$D:$D,$A76))</f>
        <v/>
      </c>
      <c r="C76" s="0" t="str">
        <f aca="false">IF($A76="","",INDEX('Master Task List'!$B:$B,$A76))</f>
        <v/>
      </c>
      <c r="D76" s="0" t="str">
        <f aca="false">IF($A76="","",INDEX('Master Task List'!$G:$G,$A76))</f>
        <v/>
      </c>
      <c r="E76" s="38" t="str">
        <f aca="false">IF($A76="","",INDEX('Master Task List'!$M:$M,$A76))</f>
        <v/>
      </c>
      <c r="F76" s="40" t="str">
        <f aca="false">IF($A76="","",INDEX('Master Task List'!$N:$N,$A76))</f>
        <v/>
      </c>
      <c r="G76" s="41"/>
    </row>
    <row r="77" customFormat="false" ht="15" hidden="false" customHeight="false" outlineLevel="0" collapsed="false">
      <c r="A77" s="0" t="str">
        <f aca="false">IFERROR(SMALL('Master Task List'!$T$2:$T$600,76),"")</f>
        <v/>
      </c>
      <c r="B77" s="0" t="str">
        <f aca="false">IF($A77="","",INDEX('Master Task List'!$D:$D,$A77))</f>
        <v/>
      </c>
      <c r="C77" s="0" t="str">
        <f aca="false">IF($A77="","",INDEX('Master Task List'!$B:$B,$A77))</f>
        <v/>
      </c>
      <c r="D77" s="0" t="str">
        <f aca="false">IF($A77="","",INDEX('Master Task List'!$G:$G,$A77))</f>
        <v/>
      </c>
      <c r="E77" s="38" t="str">
        <f aca="false">IF($A77="","",INDEX('Master Task List'!$M:$M,$A77))</f>
        <v/>
      </c>
      <c r="F77" s="40" t="str">
        <f aca="false">IF($A77="","",INDEX('Master Task List'!$N:$N,$A77))</f>
        <v/>
      </c>
      <c r="G77" s="41"/>
    </row>
    <row r="78" customFormat="false" ht="15" hidden="false" customHeight="false" outlineLevel="0" collapsed="false">
      <c r="A78" s="0" t="str">
        <f aca="false">IFERROR(SMALL('Master Task List'!$T$2:$T$600,77),"")</f>
        <v/>
      </c>
      <c r="B78" s="0" t="str">
        <f aca="false">IF($A78="","",INDEX('Master Task List'!$D:$D,$A78))</f>
        <v/>
      </c>
      <c r="C78" s="0" t="str">
        <f aca="false">IF($A78="","",INDEX('Master Task List'!$B:$B,$A78))</f>
        <v/>
      </c>
      <c r="D78" s="0" t="str">
        <f aca="false">IF($A78="","",INDEX('Master Task List'!$G:$G,$A78))</f>
        <v/>
      </c>
      <c r="E78" s="38" t="str">
        <f aca="false">IF($A78="","",INDEX('Master Task List'!$M:$M,$A78))</f>
        <v/>
      </c>
      <c r="F78" s="40" t="str">
        <f aca="false">IF($A78="","",INDEX('Master Task List'!$N:$N,$A78))</f>
        <v/>
      </c>
      <c r="G78" s="41"/>
    </row>
    <row r="79" customFormat="false" ht="15" hidden="false" customHeight="false" outlineLevel="0" collapsed="false">
      <c r="A79" s="0" t="str">
        <f aca="false">IFERROR(SMALL('Master Task List'!$T$2:$T$600,78),"")</f>
        <v/>
      </c>
      <c r="B79" s="0" t="str">
        <f aca="false">IF($A79="","",INDEX('Master Task List'!$D:$D,$A79))</f>
        <v/>
      </c>
      <c r="C79" s="0" t="str">
        <f aca="false">IF($A79="","",INDEX('Master Task List'!$B:$B,$A79))</f>
        <v/>
      </c>
      <c r="D79" s="0" t="str">
        <f aca="false">IF($A79="","",INDEX('Master Task List'!$G:$G,$A79))</f>
        <v/>
      </c>
      <c r="E79" s="38" t="str">
        <f aca="false">IF($A79="","",INDEX('Master Task List'!$M:$M,$A79))</f>
        <v/>
      </c>
      <c r="F79" s="40" t="str">
        <f aca="false">IF($A79="","",INDEX('Master Task List'!$N:$N,$A79))</f>
        <v/>
      </c>
      <c r="G79" s="41"/>
    </row>
    <row r="80" customFormat="false" ht="15" hidden="false" customHeight="false" outlineLevel="0" collapsed="false">
      <c r="A80" s="0" t="str">
        <f aca="false">IFERROR(SMALL('Master Task List'!$T$2:$T$600,79),"")</f>
        <v/>
      </c>
      <c r="B80" s="0" t="str">
        <f aca="false">IF($A80="","",INDEX('Master Task List'!$D:$D,$A80))</f>
        <v/>
      </c>
      <c r="C80" s="0" t="str">
        <f aca="false">IF($A80="","",INDEX('Master Task List'!$B:$B,$A80))</f>
        <v/>
      </c>
      <c r="D80" s="0" t="str">
        <f aca="false">IF($A80="","",INDEX('Master Task List'!$G:$G,$A80))</f>
        <v/>
      </c>
      <c r="E80" s="38" t="str">
        <f aca="false">IF($A80="","",INDEX('Master Task List'!$M:$M,$A80))</f>
        <v/>
      </c>
      <c r="F80" s="40" t="str">
        <f aca="false">IF($A80="","",INDEX('Master Task List'!$N:$N,$A80))</f>
        <v/>
      </c>
      <c r="G80" s="41"/>
    </row>
    <row r="81" customFormat="false" ht="15" hidden="false" customHeight="false" outlineLevel="0" collapsed="false">
      <c r="A81" s="0" t="str">
        <f aca="false">IFERROR(SMALL('Master Task List'!$T$2:$T$600,80),"")</f>
        <v/>
      </c>
      <c r="B81" s="0" t="str">
        <f aca="false">IF($A81="","",INDEX('Master Task List'!$D:$D,$A81))</f>
        <v/>
      </c>
      <c r="C81" s="0" t="str">
        <f aca="false">IF($A81="","",INDEX('Master Task List'!$B:$B,$A81))</f>
        <v/>
      </c>
      <c r="D81" s="0" t="str">
        <f aca="false">IF($A81="","",INDEX('Master Task List'!$G:$G,$A81))</f>
        <v/>
      </c>
      <c r="E81" s="38" t="str">
        <f aca="false">IF($A81="","",INDEX('Master Task List'!$M:$M,$A81))</f>
        <v/>
      </c>
      <c r="F81" s="40" t="str">
        <f aca="false">IF($A81="","",INDEX('Master Task List'!$N:$N,$A81))</f>
        <v/>
      </c>
      <c r="G81" s="41"/>
    </row>
    <row r="82" customFormat="false" ht="15" hidden="false" customHeight="false" outlineLevel="0" collapsed="false">
      <c r="A82" s="0" t="str">
        <f aca="false">IFERROR(SMALL('Master Task List'!$T$2:$T$600,81),"")</f>
        <v/>
      </c>
      <c r="B82" s="0" t="str">
        <f aca="false">IF($A82="","",INDEX('Master Task List'!$D:$D,$A82))</f>
        <v/>
      </c>
      <c r="C82" s="0" t="str">
        <f aca="false">IF($A82="","",INDEX('Master Task List'!$B:$B,$A82))</f>
        <v/>
      </c>
      <c r="D82" s="0" t="str">
        <f aca="false">IF($A82="","",INDEX('Master Task List'!$G:$G,$A82))</f>
        <v/>
      </c>
      <c r="E82" s="38" t="str">
        <f aca="false">IF($A82="","",INDEX('Master Task List'!$M:$M,$A82))</f>
        <v/>
      </c>
      <c r="F82" s="40" t="str">
        <f aca="false">IF($A82="","",INDEX('Master Task List'!$N:$N,$A82))</f>
        <v/>
      </c>
      <c r="G82" s="41"/>
    </row>
    <row r="83" customFormat="false" ht="15" hidden="false" customHeight="false" outlineLevel="0" collapsed="false">
      <c r="A83" s="0" t="str">
        <f aca="false">IFERROR(SMALL('Master Task List'!$T$2:$T$600,82),"")</f>
        <v/>
      </c>
      <c r="B83" s="0" t="str">
        <f aca="false">IF($A83="","",INDEX('Master Task List'!$D:$D,$A83))</f>
        <v/>
      </c>
      <c r="C83" s="0" t="str">
        <f aca="false">IF($A83="","",INDEX('Master Task List'!$B:$B,$A83))</f>
        <v/>
      </c>
      <c r="D83" s="0" t="str">
        <f aca="false">IF($A83="","",INDEX('Master Task List'!$G:$G,$A83))</f>
        <v/>
      </c>
      <c r="E83" s="38" t="str">
        <f aca="false">IF($A83="","",INDEX('Master Task List'!$M:$M,$A83))</f>
        <v/>
      </c>
      <c r="F83" s="40" t="str">
        <f aca="false">IF($A83="","",INDEX('Master Task List'!$N:$N,$A83))</f>
        <v/>
      </c>
      <c r="G83" s="41"/>
    </row>
    <row r="84" customFormat="false" ht="15" hidden="false" customHeight="false" outlineLevel="0" collapsed="false">
      <c r="A84" s="0" t="str">
        <f aca="false">IFERROR(SMALL('Master Task List'!$T$2:$T$600,83),"")</f>
        <v/>
      </c>
      <c r="B84" s="0" t="str">
        <f aca="false">IF($A84="","",INDEX('Master Task List'!$D:$D,$A84))</f>
        <v/>
      </c>
      <c r="C84" s="0" t="str">
        <f aca="false">IF($A84="","",INDEX('Master Task List'!$B:$B,$A84))</f>
        <v/>
      </c>
      <c r="D84" s="0" t="str">
        <f aca="false">IF($A84="","",INDEX('Master Task List'!$G:$G,$A84))</f>
        <v/>
      </c>
      <c r="E84" s="38" t="str">
        <f aca="false">IF($A84="","",INDEX('Master Task List'!$M:$M,$A84))</f>
        <v/>
      </c>
      <c r="F84" s="40" t="str">
        <f aca="false">IF($A84="","",INDEX('Master Task List'!$N:$N,$A84))</f>
        <v/>
      </c>
      <c r="G84" s="41"/>
    </row>
    <row r="85" customFormat="false" ht="15" hidden="false" customHeight="false" outlineLevel="0" collapsed="false">
      <c r="A85" s="0" t="str">
        <f aca="false">IFERROR(SMALL('Master Task List'!$T$2:$T$600,84),"")</f>
        <v/>
      </c>
      <c r="B85" s="0" t="str">
        <f aca="false">IF($A85="","",INDEX('Master Task List'!$D:$D,$A85))</f>
        <v/>
      </c>
      <c r="C85" s="0" t="str">
        <f aca="false">IF($A85="","",INDEX('Master Task List'!$B:$B,$A85))</f>
        <v/>
      </c>
      <c r="D85" s="0" t="str">
        <f aca="false">IF($A85="","",INDEX('Master Task List'!$G:$G,$A85))</f>
        <v/>
      </c>
      <c r="E85" s="38" t="str">
        <f aca="false">IF($A85="","",INDEX('Master Task List'!$M:$M,$A85))</f>
        <v/>
      </c>
      <c r="F85" s="40" t="str">
        <f aca="false">IF($A85="","",INDEX('Master Task List'!$N:$N,$A85))</f>
        <v/>
      </c>
      <c r="G85" s="41"/>
    </row>
    <row r="86" customFormat="false" ht="15" hidden="false" customHeight="false" outlineLevel="0" collapsed="false">
      <c r="A86" s="0" t="str">
        <f aca="false">IFERROR(SMALL('Master Task List'!$T$2:$T$600,85),"")</f>
        <v/>
      </c>
      <c r="B86" s="0" t="str">
        <f aca="false">IF($A86="","",INDEX('Master Task List'!$D:$D,$A86))</f>
        <v/>
      </c>
      <c r="C86" s="0" t="str">
        <f aca="false">IF($A86="","",INDEX('Master Task List'!$B:$B,$A86))</f>
        <v/>
      </c>
      <c r="D86" s="0" t="str">
        <f aca="false">IF($A86="","",INDEX('Master Task List'!$G:$G,$A86))</f>
        <v/>
      </c>
      <c r="E86" s="38" t="str">
        <f aca="false">IF($A86="","",INDEX('Master Task List'!$M:$M,$A86))</f>
        <v/>
      </c>
      <c r="F86" s="40" t="str">
        <f aca="false">IF($A86="","",INDEX('Master Task List'!$N:$N,$A86))</f>
        <v/>
      </c>
      <c r="G86" s="41"/>
    </row>
    <row r="87" customFormat="false" ht="15" hidden="false" customHeight="false" outlineLevel="0" collapsed="false">
      <c r="A87" s="0" t="str">
        <f aca="false">IFERROR(SMALL('Master Task List'!$T$2:$T$600,86),"")</f>
        <v/>
      </c>
      <c r="B87" s="0" t="str">
        <f aca="false">IF($A87="","",INDEX('Master Task List'!$D:$D,$A87))</f>
        <v/>
      </c>
      <c r="C87" s="0" t="str">
        <f aca="false">IF($A87="","",INDEX('Master Task List'!$B:$B,$A87))</f>
        <v/>
      </c>
      <c r="D87" s="0" t="str">
        <f aca="false">IF($A87="","",INDEX('Master Task List'!$G:$G,$A87))</f>
        <v/>
      </c>
      <c r="E87" s="38" t="str">
        <f aca="false">IF($A87="","",INDEX('Master Task List'!$M:$M,$A87))</f>
        <v/>
      </c>
      <c r="F87" s="40" t="str">
        <f aca="false">IF($A87="","",INDEX('Master Task List'!$N:$N,$A87))</f>
        <v/>
      </c>
      <c r="G87" s="41"/>
    </row>
    <row r="88" customFormat="false" ht="15" hidden="false" customHeight="false" outlineLevel="0" collapsed="false">
      <c r="A88" s="0" t="str">
        <f aca="false">IFERROR(SMALL('Master Task List'!$T$2:$T$600,87),"")</f>
        <v/>
      </c>
      <c r="B88" s="0" t="str">
        <f aca="false">IF($A88="","",INDEX('Master Task List'!$D:$D,$A88))</f>
        <v/>
      </c>
      <c r="C88" s="0" t="str">
        <f aca="false">IF($A88="","",INDEX('Master Task List'!$B:$B,$A88))</f>
        <v/>
      </c>
      <c r="D88" s="0" t="str">
        <f aca="false">IF($A88="","",INDEX('Master Task List'!$G:$G,$A88))</f>
        <v/>
      </c>
      <c r="E88" s="38" t="str">
        <f aca="false">IF($A88="","",INDEX('Master Task List'!$M:$M,$A88))</f>
        <v/>
      </c>
      <c r="F88" s="40" t="str">
        <f aca="false">IF($A88="","",INDEX('Master Task List'!$N:$N,$A88))</f>
        <v/>
      </c>
      <c r="G88" s="41"/>
    </row>
    <row r="89" customFormat="false" ht="15" hidden="false" customHeight="false" outlineLevel="0" collapsed="false">
      <c r="A89" s="0" t="str">
        <f aca="false">IFERROR(SMALL('Master Task List'!$T$2:$T$600,88),"")</f>
        <v/>
      </c>
      <c r="B89" s="0" t="str">
        <f aca="false">IF($A89="","",INDEX('Master Task List'!$D:$D,$A89))</f>
        <v/>
      </c>
      <c r="C89" s="0" t="str">
        <f aca="false">IF($A89="","",INDEX('Master Task List'!$B:$B,$A89))</f>
        <v/>
      </c>
      <c r="D89" s="0" t="str">
        <f aca="false">IF($A89="","",INDEX('Master Task List'!$G:$G,$A89))</f>
        <v/>
      </c>
      <c r="E89" s="38" t="str">
        <f aca="false">IF($A89="","",INDEX('Master Task List'!$M:$M,$A89))</f>
        <v/>
      </c>
      <c r="F89" s="40" t="str">
        <f aca="false">IF($A89="","",INDEX('Master Task List'!$N:$N,$A89))</f>
        <v/>
      </c>
      <c r="G89" s="41"/>
    </row>
    <row r="90" customFormat="false" ht="15" hidden="false" customHeight="false" outlineLevel="0" collapsed="false">
      <c r="A90" s="0" t="str">
        <f aca="false">IFERROR(SMALL('Master Task List'!$T$2:$T$600,89),"")</f>
        <v/>
      </c>
      <c r="B90" s="0" t="str">
        <f aca="false">IF($A90="","",INDEX('Master Task List'!$D:$D,$A90))</f>
        <v/>
      </c>
      <c r="C90" s="0" t="str">
        <f aca="false">IF($A90="","",INDEX('Master Task List'!$B:$B,$A90))</f>
        <v/>
      </c>
      <c r="D90" s="0" t="str">
        <f aca="false">IF($A90="","",INDEX('Master Task List'!$G:$G,$A90))</f>
        <v/>
      </c>
      <c r="E90" s="38" t="str">
        <f aca="false">IF($A90="","",INDEX('Master Task List'!$M:$M,$A90))</f>
        <v/>
      </c>
      <c r="F90" s="40" t="str">
        <f aca="false">IF($A90="","",INDEX('Master Task List'!$N:$N,$A90))</f>
        <v/>
      </c>
      <c r="G90" s="41"/>
    </row>
    <row r="91" customFormat="false" ht="15" hidden="false" customHeight="false" outlineLevel="0" collapsed="false">
      <c r="A91" s="0" t="str">
        <f aca="false">IFERROR(SMALL('Master Task List'!$T$2:$T$600,90),"")</f>
        <v/>
      </c>
      <c r="B91" s="0" t="str">
        <f aca="false">IF($A91="","",INDEX('Master Task List'!$D:$D,$A91))</f>
        <v/>
      </c>
      <c r="C91" s="0" t="str">
        <f aca="false">IF($A91="","",INDEX('Master Task List'!$B:$B,$A91))</f>
        <v/>
      </c>
      <c r="D91" s="0" t="str">
        <f aca="false">IF($A91="","",INDEX('Master Task List'!$G:$G,$A91))</f>
        <v/>
      </c>
      <c r="E91" s="38" t="str">
        <f aca="false">IF($A91="","",INDEX('Master Task List'!$M:$M,$A91))</f>
        <v/>
      </c>
      <c r="F91" s="40" t="str">
        <f aca="false">IF($A91="","",INDEX('Master Task List'!$N:$N,$A91))</f>
        <v/>
      </c>
      <c r="G91" s="41"/>
    </row>
    <row r="92" customFormat="false" ht="15" hidden="false" customHeight="false" outlineLevel="0" collapsed="false">
      <c r="A92" s="0" t="str">
        <f aca="false">IFERROR(SMALL('Master Task List'!$T$2:$T$600,91),"")</f>
        <v/>
      </c>
      <c r="B92" s="0" t="str">
        <f aca="false">IF($A92="","",INDEX('Master Task List'!$D:$D,$A92))</f>
        <v/>
      </c>
      <c r="C92" s="0" t="str">
        <f aca="false">IF($A92="","",INDEX('Master Task List'!$B:$B,$A92))</f>
        <v/>
      </c>
      <c r="D92" s="0" t="str">
        <f aca="false">IF($A92="","",INDEX('Master Task List'!$G:$G,$A92))</f>
        <v/>
      </c>
      <c r="E92" s="38" t="str">
        <f aca="false">IF($A92="","",INDEX('Master Task List'!$M:$M,$A92))</f>
        <v/>
      </c>
      <c r="F92" s="40" t="str">
        <f aca="false">IF($A92="","",INDEX('Master Task List'!$N:$N,$A92))</f>
        <v/>
      </c>
      <c r="G92" s="41"/>
    </row>
    <row r="93" customFormat="false" ht="15" hidden="false" customHeight="false" outlineLevel="0" collapsed="false">
      <c r="A93" s="0" t="str">
        <f aca="false">IFERROR(SMALL('Master Task List'!$T$2:$T$600,92),"")</f>
        <v/>
      </c>
      <c r="B93" s="0" t="str">
        <f aca="false">IF($A93="","",INDEX('Master Task List'!$D:$D,$A93))</f>
        <v/>
      </c>
      <c r="C93" s="0" t="str">
        <f aca="false">IF($A93="","",INDEX('Master Task List'!$B:$B,$A93))</f>
        <v/>
      </c>
      <c r="D93" s="0" t="str">
        <f aca="false">IF($A93="","",INDEX('Master Task List'!$G:$G,$A93))</f>
        <v/>
      </c>
      <c r="E93" s="38" t="str">
        <f aca="false">IF($A93="","",INDEX('Master Task List'!$M:$M,$A93))</f>
        <v/>
      </c>
      <c r="F93" s="40" t="str">
        <f aca="false">IF($A93="","",INDEX('Master Task List'!$N:$N,$A93))</f>
        <v/>
      </c>
      <c r="G93" s="41"/>
    </row>
    <row r="94" customFormat="false" ht="15" hidden="false" customHeight="false" outlineLevel="0" collapsed="false">
      <c r="A94" s="0" t="str">
        <f aca="false">IFERROR(SMALL('Master Task List'!$T$2:$T$600,93),"")</f>
        <v/>
      </c>
      <c r="B94" s="0" t="str">
        <f aca="false">IF($A94="","",INDEX('Master Task List'!$D:$D,$A94))</f>
        <v/>
      </c>
      <c r="C94" s="0" t="str">
        <f aca="false">IF($A94="","",INDEX('Master Task List'!$B:$B,$A94))</f>
        <v/>
      </c>
      <c r="D94" s="0" t="str">
        <f aca="false">IF($A94="","",INDEX('Master Task List'!$G:$G,$A94))</f>
        <v/>
      </c>
      <c r="E94" s="38" t="str">
        <f aca="false">IF($A94="","",INDEX('Master Task List'!$M:$M,$A94))</f>
        <v/>
      </c>
      <c r="F94" s="40" t="str">
        <f aca="false">IF($A94="","",INDEX('Master Task List'!$N:$N,$A94))</f>
        <v/>
      </c>
      <c r="G94" s="41"/>
    </row>
    <row r="95" customFormat="false" ht="15" hidden="false" customHeight="false" outlineLevel="0" collapsed="false">
      <c r="A95" s="0" t="str">
        <f aca="false">IFERROR(SMALL('Master Task List'!$T$2:$T$600,94),"")</f>
        <v/>
      </c>
      <c r="B95" s="0" t="str">
        <f aca="false">IF($A95="","",INDEX('Master Task List'!$D:$D,$A95))</f>
        <v/>
      </c>
      <c r="C95" s="0" t="str">
        <f aca="false">IF($A95="","",INDEX('Master Task List'!$B:$B,$A95))</f>
        <v/>
      </c>
      <c r="D95" s="0" t="str">
        <f aca="false">IF($A95="","",INDEX('Master Task List'!$G:$G,$A95))</f>
        <v/>
      </c>
      <c r="E95" s="38" t="str">
        <f aca="false">IF($A95="","",INDEX('Master Task List'!$M:$M,$A95))</f>
        <v/>
      </c>
      <c r="F95" s="40" t="str">
        <f aca="false">IF($A95="","",INDEX('Master Task List'!$N:$N,$A95))</f>
        <v/>
      </c>
      <c r="G95" s="41"/>
    </row>
    <row r="96" customFormat="false" ht="15" hidden="false" customHeight="false" outlineLevel="0" collapsed="false">
      <c r="A96" s="0" t="str">
        <f aca="false">IFERROR(SMALL('Master Task List'!$T$2:$T$600,95),"")</f>
        <v/>
      </c>
      <c r="B96" s="0" t="str">
        <f aca="false">IF($A96="","",INDEX('Master Task List'!$D:$D,$A96))</f>
        <v/>
      </c>
      <c r="C96" s="0" t="str">
        <f aca="false">IF($A96="","",INDEX('Master Task List'!$B:$B,$A96))</f>
        <v/>
      </c>
      <c r="D96" s="0" t="str">
        <f aca="false">IF($A96="","",INDEX('Master Task List'!$G:$G,$A96))</f>
        <v/>
      </c>
      <c r="E96" s="38" t="str">
        <f aca="false">IF($A96="","",INDEX('Master Task List'!$M:$M,$A96))</f>
        <v/>
      </c>
      <c r="F96" s="40" t="str">
        <f aca="false">IF($A96="","",INDEX('Master Task List'!$N:$N,$A96))</f>
        <v/>
      </c>
      <c r="G96" s="41"/>
    </row>
    <row r="97" customFormat="false" ht="15" hidden="false" customHeight="false" outlineLevel="0" collapsed="false">
      <c r="A97" s="0" t="str">
        <f aca="false">IFERROR(SMALL('Master Task List'!$T$2:$T$600,96),"")</f>
        <v/>
      </c>
      <c r="B97" s="0" t="str">
        <f aca="false">IF($A97="","",INDEX('Master Task List'!$D:$D,$A97))</f>
        <v/>
      </c>
      <c r="C97" s="0" t="str">
        <f aca="false">IF($A97="","",INDEX('Master Task List'!$B:$B,$A97))</f>
        <v/>
      </c>
      <c r="D97" s="0" t="str">
        <f aca="false">IF($A97="","",INDEX('Master Task List'!$G:$G,$A97))</f>
        <v/>
      </c>
      <c r="E97" s="38" t="str">
        <f aca="false">IF($A97="","",INDEX('Master Task List'!$M:$M,$A97))</f>
        <v/>
      </c>
      <c r="F97" s="40" t="str">
        <f aca="false">IF($A97="","",INDEX('Master Task List'!$N:$N,$A97))</f>
        <v/>
      </c>
      <c r="G97" s="41"/>
    </row>
    <row r="98" customFormat="false" ht="15" hidden="false" customHeight="false" outlineLevel="0" collapsed="false">
      <c r="A98" s="0" t="str">
        <f aca="false">IFERROR(SMALL('Master Task List'!$T$2:$T$600,97),"")</f>
        <v/>
      </c>
      <c r="B98" s="0" t="str">
        <f aca="false">IF($A98="","",INDEX('Master Task List'!$D:$D,$A98))</f>
        <v/>
      </c>
      <c r="C98" s="0" t="str">
        <f aca="false">IF($A98="","",INDEX('Master Task List'!$B:$B,$A98))</f>
        <v/>
      </c>
      <c r="D98" s="0" t="str">
        <f aca="false">IF($A98="","",INDEX('Master Task List'!$G:$G,$A98))</f>
        <v/>
      </c>
      <c r="E98" s="38" t="str">
        <f aca="false">IF($A98="","",INDEX('Master Task List'!$M:$M,$A98))</f>
        <v/>
      </c>
      <c r="F98" s="40" t="str">
        <f aca="false">IF($A98="","",INDEX('Master Task List'!$N:$N,$A98))</f>
        <v/>
      </c>
      <c r="G98" s="41"/>
    </row>
    <row r="99" customFormat="false" ht="15" hidden="false" customHeight="false" outlineLevel="0" collapsed="false">
      <c r="A99" s="0" t="str">
        <f aca="false">IFERROR(SMALL('Master Task List'!$T$2:$T$600,98),"")</f>
        <v/>
      </c>
      <c r="B99" s="0" t="str">
        <f aca="false">IF($A99="","",INDEX('Master Task List'!$D:$D,$A99))</f>
        <v/>
      </c>
      <c r="C99" s="0" t="str">
        <f aca="false">IF($A99="","",INDEX('Master Task List'!$B:$B,$A99))</f>
        <v/>
      </c>
      <c r="D99" s="0" t="str">
        <f aca="false">IF($A99="","",INDEX('Master Task List'!$G:$G,$A99))</f>
        <v/>
      </c>
      <c r="E99" s="38" t="str">
        <f aca="false">IF($A99="","",INDEX('Master Task List'!$M:$M,$A99))</f>
        <v/>
      </c>
      <c r="F99" s="40" t="str">
        <f aca="false">IF($A99="","",INDEX('Master Task List'!$N:$N,$A99))</f>
        <v/>
      </c>
      <c r="G99" s="41"/>
    </row>
    <row r="100" customFormat="false" ht="15" hidden="false" customHeight="false" outlineLevel="0" collapsed="false">
      <c r="A100" s="0" t="str">
        <f aca="false">IFERROR(SMALL('Master Task List'!$T$2:$T$600,99),"")</f>
        <v/>
      </c>
      <c r="B100" s="0" t="str">
        <f aca="false">IF($A100="","",INDEX('Master Task List'!$D:$D,$A100))</f>
        <v/>
      </c>
      <c r="C100" s="0" t="str">
        <f aca="false">IF($A100="","",INDEX('Master Task List'!$B:$B,$A100))</f>
        <v/>
      </c>
      <c r="D100" s="0" t="str">
        <f aca="false">IF($A100="","",INDEX('Master Task List'!$G:$G,$A100))</f>
        <v/>
      </c>
      <c r="E100" s="38" t="str">
        <f aca="false">IF($A100="","",INDEX('Master Task List'!$M:$M,$A100))</f>
        <v/>
      </c>
      <c r="F100" s="40" t="str">
        <f aca="false">IF($A100="","",INDEX('Master Task List'!$N:$N,$A100))</f>
        <v/>
      </c>
      <c r="G100" s="41"/>
    </row>
    <row r="101" customFormat="false" ht="15" hidden="false" customHeight="false" outlineLevel="0" collapsed="false">
      <c r="A101" s="0" t="str">
        <f aca="false">IFERROR(SMALL('Master Task List'!$T$2:$T$600,100),"")</f>
        <v/>
      </c>
      <c r="B101" s="0" t="str">
        <f aca="false">IF($A101="","",INDEX('Master Task List'!$D:$D,$A101))</f>
        <v/>
      </c>
      <c r="C101" s="0" t="str">
        <f aca="false">IF($A101="","",INDEX('Master Task List'!$B:$B,$A101))</f>
        <v/>
      </c>
      <c r="D101" s="0" t="str">
        <f aca="false">IF($A101="","",INDEX('Master Task List'!$G:$G,$A101))</f>
        <v/>
      </c>
      <c r="E101" s="38" t="str">
        <f aca="false">IF($A101="","",INDEX('Master Task List'!$M:$M,$A101))</f>
        <v/>
      </c>
      <c r="F101" s="40" t="str">
        <f aca="false">IF($A101="","",INDEX('Master Task List'!$N:$N,$A101))</f>
        <v/>
      </c>
      <c r="G101" s="41"/>
    </row>
    <row r="102" customFormat="false" ht="15" hidden="false" customHeight="false" outlineLevel="0" collapsed="false">
      <c r="A102" s="0" t="str">
        <f aca="false">IFERROR(SMALL('Master Task List'!$T$2:$T$600,101),"")</f>
        <v/>
      </c>
      <c r="B102" s="0" t="str">
        <f aca="false">IF($A102="","",INDEX('Master Task List'!$D:$D,$A102))</f>
        <v/>
      </c>
      <c r="C102" s="0" t="str">
        <f aca="false">IF($A102="","",INDEX('Master Task List'!$B:$B,$A102))</f>
        <v/>
      </c>
      <c r="D102" s="0" t="str">
        <f aca="false">IF($A102="","",INDEX('Master Task List'!$G:$G,$A102))</f>
        <v/>
      </c>
      <c r="E102" s="38" t="str">
        <f aca="false">IF($A102="","",INDEX('Master Task List'!$M:$M,$A102))</f>
        <v/>
      </c>
      <c r="F102" s="40" t="str">
        <f aca="false">IF($A102="","",INDEX('Master Task List'!$N:$N,$A102))</f>
        <v/>
      </c>
      <c r="G102" s="41"/>
    </row>
    <row r="103" customFormat="false" ht="15" hidden="false" customHeight="false" outlineLevel="0" collapsed="false">
      <c r="A103" s="0" t="str">
        <f aca="false">IFERROR(SMALL('Master Task List'!$T$2:$T$600,102),"")</f>
        <v/>
      </c>
      <c r="B103" s="0" t="str">
        <f aca="false">IF($A103="","",INDEX('Master Task List'!$D:$D,$A103))</f>
        <v/>
      </c>
      <c r="C103" s="0" t="str">
        <f aca="false">IF($A103="","",INDEX('Master Task List'!$B:$B,$A103))</f>
        <v/>
      </c>
      <c r="D103" s="0" t="str">
        <f aca="false">IF($A103="","",INDEX('Master Task List'!$G:$G,$A103))</f>
        <v/>
      </c>
      <c r="E103" s="38" t="str">
        <f aca="false">IF($A103="","",INDEX('Master Task List'!$M:$M,$A103))</f>
        <v/>
      </c>
      <c r="F103" s="40" t="str">
        <f aca="false">IF($A103="","",INDEX('Master Task List'!$N:$N,$A103))</f>
        <v/>
      </c>
      <c r="G103" s="41"/>
    </row>
    <row r="104" customFormat="false" ht="15" hidden="false" customHeight="false" outlineLevel="0" collapsed="false">
      <c r="A104" s="0" t="str">
        <f aca="false">IFERROR(SMALL('Master Task List'!$T$2:$T$600,103),"")</f>
        <v/>
      </c>
      <c r="B104" s="0" t="str">
        <f aca="false">IF($A104="","",INDEX('Master Task List'!$D:$D,$A104))</f>
        <v/>
      </c>
      <c r="C104" s="0" t="str">
        <f aca="false">IF($A104="","",INDEX('Master Task List'!$B:$B,$A104))</f>
        <v/>
      </c>
      <c r="D104" s="0" t="str">
        <f aca="false">IF($A104="","",INDEX('Master Task List'!$G:$G,$A104))</f>
        <v/>
      </c>
      <c r="E104" s="38" t="str">
        <f aca="false">IF($A104="","",INDEX('Master Task List'!$M:$M,$A104))</f>
        <v/>
      </c>
      <c r="F104" s="40" t="str">
        <f aca="false">IF($A104="","",INDEX('Master Task List'!$N:$N,$A104))</f>
        <v/>
      </c>
      <c r="G104" s="41"/>
    </row>
    <row r="105" customFormat="false" ht="15" hidden="false" customHeight="false" outlineLevel="0" collapsed="false">
      <c r="A105" s="0" t="str">
        <f aca="false">IFERROR(SMALL('Master Task List'!$T$2:$T$600,104),"")</f>
        <v/>
      </c>
      <c r="B105" s="0" t="str">
        <f aca="false">IF($A105="","",INDEX('Master Task List'!$D:$D,$A105))</f>
        <v/>
      </c>
      <c r="C105" s="0" t="str">
        <f aca="false">IF($A105="","",INDEX('Master Task List'!$B:$B,$A105))</f>
        <v/>
      </c>
      <c r="D105" s="0" t="str">
        <f aca="false">IF($A105="","",INDEX('Master Task List'!$G:$G,$A105))</f>
        <v/>
      </c>
      <c r="E105" s="38" t="str">
        <f aca="false">IF($A105="","",INDEX('Master Task List'!$M:$M,$A105))</f>
        <v/>
      </c>
      <c r="F105" s="40" t="str">
        <f aca="false">IF($A105="","",INDEX('Master Task List'!$N:$N,$A105))</f>
        <v/>
      </c>
      <c r="G105" s="41"/>
    </row>
    <row r="106" customFormat="false" ht="15" hidden="false" customHeight="false" outlineLevel="0" collapsed="false">
      <c r="A106" s="0" t="str">
        <f aca="false">IFERROR(SMALL('Master Task List'!$T$2:$T$600,105),"")</f>
        <v/>
      </c>
      <c r="B106" s="0" t="str">
        <f aca="false">IF($A106="","",INDEX('Master Task List'!$D:$D,$A106))</f>
        <v/>
      </c>
      <c r="C106" s="0" t="str">
        <f aca="false">IF($A106="","",INDEX('Master Task List'!$B:$B,$A106))</f>
        <v/>
      </c>
      <c r="D106" s="0" t="str">
        <f aca="false">IF($A106="","",INDEX('Master Task List'!$G:$G,$A106))</f>
        <v/>
      </c>
      <c r="E106" s="38" t="str">
        <f aca="false">IF($A106="","",INDEX('Master Task List'!$M:$M,$A106))</f>
        <v/>
      </c>
      <c r="F106" s="40" t="str">
        <f aca="false">IF($A106="","",INDEX('Master Task List'!$N:$N,$A106))</f>
        <v/>
      </c>
      <c r="G106" s="41"/>
    </row>
    <row r="107" customFormat="false" ht="15" hidden="false" customHeight="false" outlineLevel="0" collapsed="false">
      <c r="A107" s="0" t="str">
        <f aca="false">IFERROR(SMALL('Master Task List'!$T$2:$T$600,106),"")</f>
        <v/>
      </c>
      <c r="B107" s="0" t="str">
        <f aca="false">IF($A107="","",INDEX('Master Task List'!$D:$D,$A107))</f>
        <v/>
      </c>
      <c r="C107" s="0" t="str">
        <f aca="false">IF($A107="","",INDEX('Master Task List'!$B:$B,$A107))</f>
        <v/>
      </c>
      <c r="D107" s="0" t="str">
        <f aca="false">IF($A107="","",INDEX('Master Task List'!$G:$G,$A107))</f>
        <v/>
      </c>
      <c r="E107" s="38" t="str">
        <f aca="false">IF($A107="","",INDEX('Master Task List'!$M:$M,$A107))</f>
        <v/>
      </c>
      <c r="F107" s="40" t="str">
        <f aca="false">IF($A107="","",INDEX('Master Task List'!$N:$N,$A107))</f>
        <v/>
      </c>
      <c r="G107" s="41"/>
    </row>
    <row r="108" customFormat="false" ht="15" hidden="false" customHeight="false" outlineLevel="0" collapsed="false">
      <c r="A108" s="0" t="str">
        <f aca="false">IFERROR(SMALL('Master Task List'!$T$2:$T$600,107),"")</f>
        <v/>
      </c>
      <c r="B108" s="0" t="str">
        <f aca="false">IF($A108="","",INDEX('Master Task List'!$D:$D,$A108))</f>
        <v/>
      </c>
      <c r="C108" s="0" t="str">
        <f aca="false">IF($A108="","",INDEX('Master Task List'!$B:$B,$A108))</f>
        <v/>
      </c>
      <c r="D108" s="0" t="str">
        <f aca="false">IF($A108="","",INDEX('Master Task List'!$G:$G,$A108))</f>
        <v/>
      </c>
      <c r="E108" s="38" t="str">
        <f aca="false">IF($A108="","",INDEX('Master Task List'!$M:$M,$A108))</f>
        <v/>
      </c>
      <c r="F108" s="40" t="str">
        <f aca="false">IF($A108="","",INDEX('Master Task List'!$N:$N,$A108))</f>
        <v/>
      </c>
      <c r="G108" s="41"/>
    </row>
    <row r="109" customFormat="false" ht="15" hidden="false" customHeight="false" outlineLevel="0" collapsed="false">
      <c r="A109" s="0" t="str">
        <f aca="false">IFERROR(SMALL('Master Task List'!$T$2:$T$600,108),"")</f>
        <v/>
      </c>
      <c r="B109" s="0" t="str">
        <f aca="false">IF($A109="","",INDEX('Master Task List'!$D:$D,$A109))</f>
        <v/>
      </c>
      <c r="C109" s="0" t="str">
        <f aca="false">IF($A109="","",INDEX('Master Task List'!$B:$B,$A109))</f>
        <v/>
      </c>
      <c r="D109" s="0" t="str">
        <f aca="false">IF($A109="","",INDEX('Master Task List'!$G:$G,$A109))</f>
        <v/>
      </c>
      <c r="E109" s="38" t="str">
        <f aca="false">IF($A109="","",INDEX('Master Task List'!$M:$M,$A109))</f>
        <v/>
      </c>
      <c r="F109" s="40" t="str">
        <f aca="false">IF($A109="","",INDEX('Master Task List'!$N:$N,$A109))</f>
        <v/>
      </c>
      <c r="G109" s="41"/>
    </row>
    <row r="110" customFormat="false" ht="15" hidden="false" customHeight="false" outlineLevel="0" collapsed="false">
      <c r="A110" s="0" t="str">
        <f aca="false">IFERROR(SMALL('Master Task List'!$T$2:$T$600,109),"")</f>
        <v/>
      </c>
      <c r="B110" s="0" t="str">
        <f aca="false">IF($A110="","",INDEX('Master Task List'!$D:$D,$A110))</f>
        <v/>
      </c>
      <c r="C110" s="0" t="str">
        <f aca="false">IF($A110="","",INDEX('Master Task List'!$B:$B,$A110))</f>
        <v/>
      </c>
      <c r="D110" s="0" t="str">
        <f aca="false">IF($A110="","",INDEX('Master Task List'!$G:$G,$A110))</f>
        <v/>
      </c>
      <c r="E110" s="38" t="str">
        <f aca="false">IF($A110="","",INDEX('Master Task List'!$M:$M,$A110))</f>
        <v/>
      </c>
      <c r="F110" s="40" t="str">
        <f aca="false">IF($A110="","",INDEX('Master Task List'!$N:$N,$A110))</f>
        <v/>
      </c>
      <c r="G110" s="41"/>
    </row>
    <row r="111" customFormat="false" ht="15" hidden="false" customHeight="false" outlineLevel="0" collapsed="false">
      <c r="A111" s="0" t="str">
        <f aca="false">IFERROR(SMALL('Master Task List'!$T$2:$T$600,110),"")</f>
        <v/>
      </c>
      <c r="B111" s="0" t="str">
        <f aca="false">IF($A111="","",INDEX('Master Task List'!$D:$D,$A111))</f>
        <v/>
      </c>
      <c r="C111" s="0" t="str">
        <f aca="false">IF($A111="","",INDEX('Master Task List'!$B:$B,$A111))</f>
        <v/>
      </c>
      <c r="D111" s="0" t="str">
        <f aca="false">IF($A111="","",INDEX('Master Task List'!$G:$G,$A111))</f>
        <v/>
      </c>
      <c r="E111" s="38" t="str">
        <f aca="false">IF($A111="","",INDEX('Master Task List'!$M:$M,$A111))</f>
        <v/>
      </c>
      <c r="F111" s="40" t="str">
        <f aca="false">IF($A111="","",INDEX('Master Task List'!$N:$N,$A111))</f>
        <v/>
      </c>
      <c r="G111" s="41"/>
    </row>
    <row r="112" customFormat="false" ht="15" hidden="false" customHeight="false" outlineLevel="0" collapsed="false">
      <c r="A112" s="0" t="str">
        <f aca="false">IFERROR(SMALL('Master Task List'!$T$2:$T$600,111),"")</f>
        <v/>
      </c>
      <c r="B112" s="0" t="str">
        <f aca="false">IF($A112="","",INDEX('Master Task List'!$D:$D,$A112))</f>
        <v/>
      </c>
      <c r="C112" s="0" t="str">
        <f aca="false">IF($A112="","",INDEX('Master Task List'!$B:$B,$A112))</f>
        <v/>
      </c>
      <c r="D112" s="0" t="str">
        <f aca="false">IF($A112="","",INDEX('Master Task List'!$G:$G,$A112))</f>
        <v/>
      </c>
      <c r="E112" s="38" t="str">
        <f aca="false">IF($A112="","",INDEX('Master Task List'!$M:$M,$A112))</f>
        <v/>
      </c>
      <c r="F112" s="40" t="str">
        <f aca="false">IF($A112="","",INDEX('Master Task List'!$N:$N,$A112))</f>
        <v/>
      </c>
      <c r="G112" s="41"/>
    </row>
    <row r="113" customFormat="false" ht="15" hidden="false" customHeight="false" outlineLevel="0" collapsed="false">
      <c r="A113" s="0" t="str">
        <f aca="false">IFERROR(SMALL('Master Task List'!$T$2:$T$600,112),"")</f>
        <v/>
      </c>
      <c r="B113" s="0" t="str">
        <f aca="false">IF($A113="","",INDEX('Master Task List'!$D:$D,$A113))</f>
        <v/>
      </c>
      <c r="C113" s="0" t="str">
        <f aca="false">IF($A113="","",INDEX('Master Task List'!$B:$B,$A113))</f>
        <v/>
      </c>
      <c r="D113" s="0" t="str">
        <f aca="false">IF($A113="","",INDEX('Master Task List'!$G:$G,$A113))</f>
        <v/>
      </c>
      <c r="E113" s="38" t="str">
        <f aca="false">IF($A113="","",INDEX('Master Task List'!$M:$M,$A113))</f>
        <v/>
      </c>
      <c r="F113" s="40" t="str">
        <f aca="false">IF($A113="","",INDEX('Master Task List'!$N:$N,$A113))</f>
        <v/>
      </c>
      <c r="G113" s="41"/>
    </row>
    <row r="114" customFormat="false" ht="15" hidden="false" customHeight="false" outlineLevel="0" collapsed="false">
      <c r="A114" s="0" t="str">
        <f aca="false">IFERROR(SMALL('Master Task List'!$T$2:$T$600,113),"")</f>
        <v/>
      </c>
      <c r="B114" s="0" t="str">
        <f aca="false">IF($A114="","",INDEX('Master Task List'!$D:$D,$A114))</f>
        <v/>
      </c>
      <c r="C114" s="0" t="str">
        <f aca="false">IF($A114="","",INDEX('Master Task List'!$B:$B,$A114))</f>
        <v/>
      </c>
      <c r="D114" s="0" t="str">
        <f aca="false">IF($A114="","",INDEX('Master Task List'!$G:$G,$A114))</f>
        <v/>
      </c>
      <c r="E114" s="38" t="str">
        <f aca="false">IF($A114="","",INDEX('Master Task List'!$M:$M,$A114))</f>
        <v/>
      </c>
      <c r="F114" s="40" t="str">
        <f aca="false">IF($A114="","",INDEX('Master Task List'!$N:$N,$A114))</f>
        <v/>
      </c>
      <c r="G114" s="41"/>
    </row>
    <row r="115" customFormat="false" ht="15" hidden="false" customHeight="false" outlineLevel="0" collapsed="false">
      <c r="A115" s="0" t="str">
        <f aca="false">IFERROR(SMALL('Master Task List'!$T$2:$T$600,114),"")</f>
        <v/>
      </c>
      <c r="B115" s="0" t="str">
        <f aca="false">IF($A115="","",INDEX('Master Task List'!$D:$D,$A115))</f>
        <v/>
      </c>
      <c r="C115" s="0" t="str">
        <f aca="false">IF($A115="","",INDEX('Master Task List'!$B:$B,$A115))</f>
        <v/>
      </c>
      <c r="D115" s="0" t="str">
        <f aca="false">IF($A115="","",INDEX('Master Task List'!$G:$G,$A115))</f>
        <v/>
      </c>
      <c r="E115" s="38" t="str">
        <f aca="false">IF($A115="","",INDEX('Master Task List'!$M:$M,$A115))</f>
        <v/>
      </c>
      <c r="F115" s="40" t="str">
        <f aca="false">IF($A115="","",INDEX('Master Task List'!$N:$N,$A115))</f>
        <v/>
      </c>
      <c r="G115" s="41"/>
    </row>
    <row r="116" customFormat="false" ht="15" hidden="false" customHeight="false" outlineLevel="0" collapsed="false">
      <c r="A116" s="0" t="str">
        <f aca="false">IFERROR(SMALL('Master Task List'!$T$2:$T$600,115),"")</f>
        <v/>
      </c>
      <c r="B116" s="0" t="str">
        <f aca="false">IF($A116="","",INDEX('Master Task List'!$D:$D,$A116))</f>
        <v/>
      </c>
      <c r="C116" s="0" t="str">
        <f aca="false">IF($A116="","",INDEX('Master Task List'!$B:$B,$A116))</f>
        <v/>
      </c>
      <c r="D116" s="0" t="str">
        <f aca="false">IF($A116="","",INDEX('Master Task List'!$G:$G,$A116))</f>
        <v/>
      </c>
      <c r="E116" s="38" t="str">
        <f aca="false">IF($A116="","",INDEX('Master Task List'!$M:$M,$A116))</f>
        <v/>
      </c>
      <c r="F116" s="40" t="str">
        <f aca="false">IF($A116="","",INDEX('Master Task List'!$N:$N,$A116))</f>
        <v/>
      </c>
      <c r="G116" s="41"/>
    </row>
    <row r="117" customFormat="false" ht="15" hidden="false" customHeight="false" outlineLevel="0" collapsed="false">
      <c r="A117" s="0" t="str">
        <f aca="false">IFERROR(SMALL('Master Task List'!$T$2:$T$600,116),"")</f>
        <v/>
      </c>
      <c r="B117" s="0" t="str">
        <f aca="false">IF($A117="","",INDEX('Master Task List'!$D:$D,$A117))</f>
        <v/>
      </c>
      <c r="C117" s="0" t="str">
        <f aca="false">IF($A117="","",INDEX('Master Task List'!$B:$B,$A117))</f>
        <v/>
      </c>
      <c r="D117" s="0" t="str">
        <f aca="false">IF($A117="","",INDEX('Master Task List'!$G:$G,$A117))</f>
        <v/>
      </c>
      <c r="E117" s="38" t="str">
        <f aca="false">IF($A117="","",INDEX('Master Task List'!$M:$M,$A117))</f>
        <v/>
      </c>
      <c r="F117" s="40" t="str">
        <f aca="false">IF($A117="","",INDEX('Master Task List'!$N:$N,$A117))</f>
        <v/>
      </c>
      <c r="G117" s="41"/>
    </row>
    <row r="118" customFormat="false" ht="15" hidden="false" customHeight="false" outlineLevel="0" collapsed="false">
      <c r="A118" s="0" t="str">
        <f aca="false">IFERROR(SMALL('Master Task List'!$T$2:$T$600,117),"")</f>
        <v/>
      </c>
      <c r="B118" s="0" t="str">
        <f aca="false">IF($A118="","",INDEX('Master Task List'!$D:$D,$A118))</f>
        <v/>
      </c>
      <c r="C118" s="0" t="str">
        <f aca="false">IF($A118="","",INDEX('Master Task List'!$B:$B,$A118))</f>
        <v/>
      </c>
      <c r="D118" s="0" t="str">
        <f aca="false">IF($A118="","",INDEX('Master Task List'!$G:$G,$A118))</f>
        <v/>
      </c>
      <c r="E118" s="38" t="str">
        <f aca="false">IF($A118="","",INDEX('Master Task List'!$M:$M,$A118))</f>
        <v/>
      </c>
      <c r="F118" s="40" t="str">
        <f aca="false">IF($A118="","",INDEX('Master Task List'!$N:$N,$A118))</f>
        <v/>
      </c>
      <c r="G118" s="41"/>
    </row>
    <row r="119" customFormat="false" ht="15" hidden="false" customHeight="false" outlineLevel="0" collapsed="false">
      <c r="A119" s="0" t="str">
        <f aca="false">IFERROR(SMALL('Master Task List'!$T$2:$T$600,118),"")</f>
        <v/>
      </c>
      <c r="B119" s="0" t="str">
        <f aca="false">IF($A119="","",INDEX('Master Task List'!$D:$D,$A119))</f>
        <v/>
      </c>
      <c r="C119" s="0" t="str">
        <f aca="false">IF($A119="","",INDEX('Master Task List'!$B:$B,$A119))</f>
        <v/>
      </c>
      <c r="D119" s="0" t="str">
        <f aca="false">IF($A119="","",INDEX('Master Task List'!$G:$G,$A119))</f>
        <v/>
      </c>
      <c r="E119" s="38" t="str">
        <f aca="false">IF($A119="","",INDEX('Master Task List'!$M:$M,$A119))</f>
        <v/>
      </c>
      <c r="F119" s="40" t="str">
        <f aca="false">IF($A119="","",INDEX('Master Task List'!$N:$N,$A119))</f>
        <v/>
      </c>
      <c r="G119" s="41"/>
    </row>
    <row r="120" customFormat="false" ht="15" hidden="false" customHeight="false" outlineLevel="0" collapsed="false">
      <c r="A120" s="0" t="str">
        <f aca="false">IFERROR(SMALL('Master Task List'!$T$2:$T$600,119),"")</f>
        <v/>
      </c>
      <c r="B120" s="0" t="str">
        <f aca="false">IF($A120="","",INDEX('Master Task List'!$D:$D,$A120))</f>
        <v/>
      </c>
      <c r="C120" s="0" t="str">
        <f aca="false">IF($A120="","",INDEX('Master Task List'!$B:$B,$A120))</f>
        <v/>
      </c>
      <c r="D120" s="0" t="str">
        <f aca="false">IF($A120="","",INDEX('Master Task List'!$G:$G,$A120))</f>
        <v/>
      </c>
      <c r="E120" s="38" t="str">
        <f aca="false">IF($A120="","",INDEX('Master Task List'!$M:$M,$A120))</f>
        <v/>
      </c>
      <c r="F120" s="40" t="str">
        <f aca="false">IF($A120="","",INDEX('Master Task List'!$N:$N,$A120))</f>
        <v/>
      </c>
      <c r="G120" s="41"/>
    </row>
    <row r="121" customFormat="false" ht="15" hidden="false" customHeight="false" outlineLevel="0" collapsed="false">
      <c r="A121" s="0" t="str">
        <f aca="false">IFERROR(SMALL('Master Task List'!$T$2:$T$600,120),"")</f>
        <v/>
      </c>
      <c r="B121" s="0" t="str">
        <f aca="false">IF($A121="","",INDEX('Master Task List'!$D:$D,$A121))</f>
        <v/>
      </c>
      <c r="C121" s="0" t="str">
        <f aca="false">IF($A121="","",INDEX('Master Task List'!$B:$B,$A121))</f>
        <v/>
      </c>
      <c r="D121" s="0" t="str">
        <f aca="false">IF($A121="","",INDEX('Master Task List'!$G:$G,$A121))</f>
        <v/>
      </c>
      <c r="E121" s="38" t="str">
        <f aca="false">IF($A121="","",INDEX('Master Task List'!$M:$M,$A121))</f>
        <v/>
      </c>
      <c r="F121" s="40" t="str">
        <f aca="false">IF($A121="","",INDEX('Master Task List'!$N:$N,$A121))</f>
        <v/>
      </c>
      <c r="G121" s="41"/>
    </row>
    <row r="122" customFormat="false" ht="15" hidden="false" customHeight="false" outlineLevel="0" collapsed="false">
      <c r="A122" s="0" t="str">
        <f aca="false">IFERROR(SMALL('Master Task List'!$T$2:$T$600,121),"")</f>
        <v/>
      </c>
      <c r="B122" s="0" t="str">
        <f aca="false">IF($A122="","",INDEX('Master Task List'!$D:$D,$A122))</f>
        <v/>
      </c>
      <c r="C122" s="0" t="str">
        <f aca="false">IF($A122="","",INDEX('Master Task List'!$B:$B,$A122))</f>
        <v/>
      </c>
      <c r="D122" s="0" t="str">
        <f aca="false">IF($A122="","",INDEX('Master Task List'!$G:$G,$A122))</f>
        <v/>
      </c>
      <c r="E122" s="38" t="str">
        <f aca="false">IF($A122="","",INDEX('Master Task List'!$M:$M,$A122))</f>
        <v/>
      </c>
      <c r="F122" s="40" t="str">
        <f aca="false">IF($A122="","",INDEX('Master Task List'!$N:$N,$A122))</f>
        <v/>
      </c>
      <c r="G122" s="41"/>
    </row>
    <row r="123" customFormat="false" ht="15" hidden="false" customHeight="false" outlineLevel="0" collapsed="false">
      <c r="A123" s="0" t="str">
        <f aca="false">IFERROR(SMALL('Master Task List'!$T$2:$T$600,122),"")</f>
        <v/>
      </c>
      <c r="B123" s="0" t="str">
        <f aca="false">IF($A123="","",INDEX('Master Task List'!$D:$D,$A123))</f>
        <v/>
      </c>
      <c r="C123" s="0" t="str">
        <f aca="false">IF($A123="","",INDEX('Master Task List'!$B:$B,$A123))</f>
        <v/>
      </c>
      <c r="D123" s="0" t="str">
        <f aca="false">IF($A123="","",INDEX('Master Task List'!$G:$G,$A123))</f>
        <v/>
      </c>
      <c r="E123" s="38" t="str">
        <f aca="false">IF($A123="","",INDEX('Master Task List'!$M:$M,$A123))</f>
        <v/>
      </c>
      <c r="F123" s="40" t="str">
        <f aca="false">IF($A123="","",INDEX('Master Task List'!$N:$N,$A123))</f>
        <v/>
      </c>
      <c r="G123" s="41"/>
    </row>
    <row r="124" customFormat="false" ht="15" hidden="false" customHeight="false" outlineLevel="0" collapsed="false">
      <c r="A124" s="0" t="str">
        <f aca="false">IFERROR(SMALL('Master Task List'!$T$2:$T$600,123),"")</f>
        <v/>
      </c>
      <c r="B124" s="0" t="str">
        <f aca="false">IF($A124="","",INDEX('Master Task List'!$D:$D,$A124))</f>
        <v/>
      </c>
      <c r="C124" s="0" t="str">
        <f aca="false">IF($A124="","",INDEX('Master Task List'!$B:$B,$A124))</f>
        <v/>
      </c>
      <c r="D124" s="0" t="str">
        <f aca="false">IF($A124="","",INDEX('Master Task List'!$G:$G,$A124))</f>
        <v/>
      </c>
      <c r="E124" s="38" t="str">
        <f aca="false">IF($A124="","",INDEX('Master Task List'!$M:$M,$A124))</f>
        <v/>
      </c>
      <c r="F124" s="40" t="str">
        <f aca="false">IF($A124="","",INDEX('Master Task List'!$N:$N,$A124))</f>
        <v/>
      </c>
      <c r="G124" s="41"/>
    </row>
    <row r="125" customFormat="false" ht="15" hidden="false" customHeight="false" outlineLevel="0" collapsed="false">
      <c r="A125" s="0" t="str">
        <f aca="false">IFERROR(SMALL('Master Task List'!$T$2:$T$600,124),"")</f>
        <v/>
      </c>
      <c r="B125" s="0" t="str">
        <f aca="false">IF($A125="","",INDEX('Master Task List'!$D:$D,$A125))</f>
        <v/>
      </c>
      <c r="C125" s="0" t="str">
        <f aca="false">IF($A125="","",INDEX('Master Task List'!$B:$B,$A125))</f>
        <v/>
      </c>
      <c r="D125" s="0" t="str">
        <f aca="false">IF($A125="","",INDEX('Master Task List'!$G:$G,$A125))</f>
        <v/>
      </c>
      <c r="E125" s="38" t="str">
        <f aca="false">IF($A125="","",INDEX('Master Task List'!$M:$M,$A125))</f>
        <v/>
      </c>
      <c r="F125" s="40" t="str">
        <f aca="false">IF($A125="","",INDEX('Master Task List'!$N:$N,$A125))</f>
        <v/>
      </c>
      <c r="G125" s="41"/>
    </row>
    <row r="126" customFormat="false" ht="15" hidden="false" customHeight="false" outlineLevel="0" collapsed="false">
      <c r="A126" s="0" t="str">
        <f aca="false">IFERROR(SMALL('Master Task List'!$T$2:$T$600,125),"")</f>
        <v/>
      </c>
      <c r="B126" s="0" t="str">
        <f aca="false">IF($A126="","",INDEX('Master Task List'!$D:$D,$A126))</f>
        <v/>
      </c>
      <c r="C126" s="0" t="str">
        <f aca="false">IF($A126="","",INDEX('Master Task List'!$B:$B,$A126))</f>
        <v/>
      </c>
      <c r="D126" s="0" t="str">
        <f aca="false">IF($A126="","",INDEX('Master Task List'!$G:$G,$A126))</f>
        <v/>
      </c>
      <c r="E126" s="38" t="str">
        <f aca="false">IF($A126="","",INDEX('Master Task List'!$M:$M,$A126))</f>
        <v/>
      </c>
      <c r="F126" s="40" t="str">
        <f aca="false">IF($A126="","",INDEX('Master Task List'!$N:$N,$A126))</f>
        <v/>
      </c>
      <c r="G126" s="41"/>
    </row>
    <row r="127" customFormat="false" ht="15" hidden="false" customHeight="false" outlineLevel="0" collapsed="false">
      <c r="A127" s="0" t="str">
        <f aca="false">IFERROR(SMALL('Master Task List'!$T$2:$T$600,126),"")</f>
        <v/>
      </c>
      <c r="B127" s="0" t="str">
        <f aca="false">IF($A127="","",INDEX('Master Task List'!$D:$D,$A127))</f>
        <v/>
      </c>
      <c r="C127" s="0" t="str">
        <f aca="false">IF($A127="","",INDEX('Master Task List'!$B:$B,$A127))</f>
        <v/>
      </c>
      <c r="D127" s="0" t="str">
        <f aca="false">IF($A127="","",INDEX('Master Task List'!$G:$G,$A127))</f>
        <v/>
      </c>
      <c r="E127" s="38" t="str">
        <f aca="false">IF($A127="","",INDEX('Master Task List'!$M:$M,$A127))</f>
        <v/>
      </c>
      <c r="F127" s="40" t="str">
        <f aca="false">IF($A127="","",INDEX('Master Task List'!$N:$N,$A127))</f>
        <v/>
      </c>
      <c r="G127" s="41"/>
    </row>
    <row r="128" customFormat="false" ht="15" hidden="false" customHeight="false" outlineLevel="0" collapsed="false">
      <c r="A128" s="0" t="str">
        <f aca="false">IFERROR(SMALL('Master Task List'!$T$2:$T$600,127),"")</f>
        <v/>
      </c>
      <c r="B128" s="0" t="str">
        <f aca="false">IF($A128="","",INDEX('Master Task List'!$D:$D,$A128))</f>
        <v/>
      </c>
      <c r="C128" s="0" t="str">
        <f aca="false">IF($A128="","",INDEX('Master Task List'!$B:$B,$A128))</f>
        <v/>
      </c>
      <c r="D128" s="0" t="str">
        <f aca="false">IF($A128="","",INDEX('Master Task List'!$G:$G,$A128))</f>
        <v/>
      </c>
      <c r="E128" s="38" t="str">
        <f aca="false">IF($A128="","",INDEX('Master Task List'!$M:$M,$A128))</f>
        <v/>
      </c>
      <c r="F128" s="40" t="str">
        <f aca="false">IF($A128="","",INDEX('Master Task List'!$N:$N,$A128))</f>
        <v/>
      </c>
      <c r="G128" s="41"/>
    </row>
    <row r="129" customFormat="false" ht="15" hidden="false" customHeight="false" outlineLevel="0" collapsed="false">
      <c r="A129" s="0" t="str">
        <f aca="false">IFERROR(SMALL('Master Task List'!$T$2:$T$600,128),"")</f>
        <v/>
      </c>
      <c r="B129" s="0" t="str">
        <f aca="false">IF($A129="","",INDEX('Master Task List'!$D:$D,$A129))</f>
        <v/>
      </c>
      <c r="C129" s="0" t="str">
        <f aca="false">IF($A129="","",INDEX('Master Task List'!$B:$B,$A129))</f>
        <v/>
      </c>
      <c r="D129" s="0" t="str">
        <f aca="false">IF($A129="","",INDEX('Master Task List'!$G:$G,$A129))</f>
        <v/>
      </c>
      <c r="E129" s="38" t="str">
        <f aca="false">IF($A129="","",INDEX('Master Task List'!$M:$M,$A129))</f>
        <v/>
      </c>
      <c r="F129" s="40" t="str">
        <f aca="false">IF($A129="","",INDEX('Master Task List'!$N:$N,$A129))</f>
        <v/>
      </c>
      <c r="G129" s="41"/>
    </row>
    <row r="130" customFormat="false" ht="15" hidden="false" customHeight="false" outlineLevel="0" collapsed="false">
      <c r="A130" s="0" t="str">
        <f aca="false">IFERROR(SMALL('Master Task List'!$T$2:$T$600,129),"")</f>
        <v/>
      </c>
      <c r="B130" s="0" t="str">
        <f aca="false">IF($A130="","",INDEX('Master Task List'!$D:$D,$A130))</f>
        <v/>
      </c>
      <c r="C130" s="0" t="str">
        <f aca="false">IF($A130="","",INDEX('Master Task List'!$B:$B,$A130))</f>
        <v/>
      </c>
      <c r="D130" s="0" t="str">
        <f aca="false">IF($A130="","",INDEX('Master Task List'!$G:$G,$A130))</f>
        <v/>
      </c>
      <c r="E130" s="38" t="str">
        <f aca="false">IF($A130="","",INDEX('Master Task List'!$M:$M,$A130))</f>
        <v/>
      </c>
      <c r="F130" s="40" t="str">
        <f aca="false">IF($A130="","",INDEX('Master Task List'!$N:$N,$A130))</f>
        <v/>
      </c>
      <c r="G130" s="41"/>
    </row>
    <row r="131" customFormat="false" ht="15" hidden="false" customHeight="false" outlineLevel="0" collapsed="false">
      <c r="A131" s="0" t="str">
        <f aca="false">IFERROR(SMALL('Master Task List'!$T$2:$T$600,130),"")</f>
        <v/>
      </c>
      <c r="B131" s="0" t="str">
        <f aca="false">IF($A131="","",INDEX('Master Task List'!$D:$D,$A131))</f>
        <v/>
      </c>
      <c r="C131" s="0" t="str">
        <f aca="false">IF($A131="","",INDEX('Master Task List'!$B:$B,$A131))</f>
        <v/>
      </c>
      <c r="D131" s="0" t="str">
        <f aca="false">IF($A131="","",INDEX('Master Task List'!$G:$G,$A131))</f>
        <v/>
      </c>
      <c r="E131" s="38" t="str">
        <f aca="false">IF($A131="","",INDEX('Master Task List'!$M:$M,$A131))</f>
        <v/>
      </c>
      <c r="F131" s="40" t="str">
        <f aca="false">IF($A131="","",INDEX('Master Task List'!$N:$N,$A131))</f>
        <v/>
      </c>
      <c r="G131" s="41"/>
    </row>
    <row r="132" customFormat="false" ht="15" hidden="false" customHeight="false" outlineLevel="0" collapsed="false">
      <c r="A132" s="0" t="str">
        <f aca="false">IFERROR(SMALL('Master Task List'!$T$2:$T$600,131),"")</f>
        <v/>
      </c>
      <c r="B132" s="0" t="str">
        <f aca="false">IF($A132="","",INDEX('Master Task List'!$D:$D,$A132))</f>
        <v/>
      </c>
      <c r="C132" s="0" t="str">
        <f aca="false">IF($A132="","",INDEX('Master Task List'!$B:$B,$A132))</f>
        <v/>
      </c>
      <c r="D132" s="0" t="str">
        <f aca="false">IF($A132="","",INDEX('Master Task List'!$G:$G,$A132))</f>
        <v/>
      </c>
      <c r="E132" s="38" t="str">
        <f aca="false">IF($A132="","",INDEX('Master Task List'!$M:$M,$A132))</f>
        <v/>
      </c>
      <c r="F132" s="40" t="str">
        <f aca="false">IF($A132="","",INDEX('Master Task List'!$N:$N,$A132))</f>
        <v/>
      </c>
      <c r="G132" s="41"/>
    </row>
    <row r="133" customFormat="false" ht="15" hidden="false" customHeight="false" outlineLevel="0" collapsed="false">
      <c r="A133" s="0" t="str">
        <f aca="false">IFERROR(SMALL('Master Task List'!$T$2:$T$600,132),"")</f>
        <v/>
      </c>
      <c r="B133" s="0" t="str">
        <f aca="false">IF($A133="","",INDEX('Master Task List'!$D:$D,$A133))</f>
        <v/>
      </c>
      <c r="C133" s="0" t="str">
        <f aca="false">IF($A133="","",INDEX('Master Task List'!$B:$B,$A133))</f>
        <v/>
      </c>
      <c r="D133" s="0" t="str">
        <f aca="false">IF($A133="","",INDEX('Master Task List'!$G:$G,$A133))</f>
        <v/>
      </c>
      <c r="E133" s="38" t="str">
        <f aca="false">IF($A133="","",INDEX('Master Task List'!$M:$M,$A133))</f>
        <v/>
      </c>
      <c r="F133" s="40" t="str">
        <f aca="false">IF($A133="","",INDEX('Master Task List'!$N:$N,$A133))</f>
        <v/>
      </c>
      <c r="G133" s="41"/>
    </row>
    <row r="134" customFormat="false" ht="15" hidden="false" customHeight="false" outlineLevel="0" collapsed="false">
      <c r="A134" s="0" t="str">
        <f aca="false">IFERROR(SMALL('Master Task List'!$T$2:$T$600,133),"")</f>
        <v/>
      </c>
      <c r="B134" s="0" t="str">
        <f aca="false">IF($A134="","",INDEX('Master Task List'!$D:$D,$A134))</f>
        <v/>
      </c>
      <c r="C134" s="0" t="str">
        <f aca="false">IF($A134="","",INDEX('Master Task List'!$B:$B,$A134))</f>
        <v/>
      </c>
      <c r="D134" s="0" t="str">
        <f aca="false">IF($A134="","",INDEX('Master Task List'!$G:$G,$A134))</f>
        <v/>
      </c>
      <c r="E134" s="38" t="str">
        <f aca="false">IF($A134="","",INDEX('Master Task List'!$M:$M,$A134))</f>
        <v/>
      </c>
      <c r="F134" s="40" t="str">
        <f aca="false">IF($A134="","",INDEX('Master Task List'!$N:$N,$A134))</f>
        <v/>
      </c>
      <c r="G134" s="41"/>
    </row>
    <row r="135" customFormat="false" ht="15" hidden="false" customHeight="false" outlineLevel="0" collapsed="false">
      <c r="A135" s="0" t="str">
        <f aca="false">IFERROR(SMALL('Master Task List'!$T$2:$T$600,134),"")</f>
        <v/>
      </c>
      <c r="B135" s="0" t="str">
        <f aca="false">IF($A135="","",INDEX('Master Task List'!$D:$D,$A135))</f>
        <v/>
      </c>
      <c r="C135" s="0" t="str">
        <f aca="false">IF($A135="","",INDEX('Master Task List'!$B:$B,$A135))</f>
        <v/>
      </c>
      <c r="D135" s="0" t="str">
        <f aca="false">IF($A135="","",INDEX('Master Task List'!$G:$G,$A135))</f>
        <v/>
      </c>
      <c r="E135" s="38" t="str">
        <f aca="false">IF($A135="","",INDEX('Master Task List'!$M:$M,$A135))</f>
        <v/>
      </c>
      <c r="F135" s="40" t="str">
        <f aca="false">IF($A135="","",INDEX('Master Task List'!$N:$N,$A135))</f>
        <v/>
      </c>
      <c r="G135" s="41"/>
    </row>
    <row r="136" customFormat="false" ht="15" hidden="false" customHeight="false" outlineLevel="0" collapsed="false">
      <c r="A136" s="0" t="str">
        <f aca="false">IFERROR(SMALL('Master Task List'!$T$2:$T$600,135),"")</f>
        <v/>
      </c>
      <c r="B136" s="0" t="str">
        <f aca="false">IF($A136="","",INDEX('Master Task List'!$D:$D,$A136))</f>
        <v/>
      </c>
      <c r="C136" s="0" t="str">
        <f aca="false">IF($A136="","",INDEX('Master Task List'!$B:$B,$A136))</f>
        <v/>
      </c>
      <c r="D136" s="0" t="str">
        <f aca="false">IF($A136="","",INDEX('Master Task List'!$G:$G,$A136))</f>
        <v/>
      </c>
      <c r="E136" s="38" t="str">
        <f aca="false">IF($A136="","",INDEX('Master Task List'!$M:$M,$A136))</f>
        <v/>
      </c>
      <c r="F136" s="40" t="str">
        <f aca="false">IF($A136="","",INDEX('Master Task List'!$N:$N,$A136))</f>
        <v/>
      </c>
      <c r="G136" s="41"/>
    </row>
    <row r="137" customFormat="false" ht="15" hidden="false" customHeight="false" outlineLevel="0" collapsed="false">
      <c r="A137" s="0" t="str">
        <f aca="false">IFERROR(SMALL('Master Task List'!$T$2:$T$600,136),"")</f>
        <v/>
      </c>
      <c r="B137" s="0" t="str">
        <f aca="false">IF($A137="","",INDEX('Master Task List'!$D:$D,$A137))</f>
        <v/>
      </c>
      <c r="C137" s="0" t="str">
        <f aca="false">IF($A137="","",INDEX('Master Task List'!$B:$B,$A137))</f>
        <v/>
      </c>
      <c r="D137" s="0" t="str">
        <f aca="false">IF($A137="","",INDEX('Master Task List'!$G:$G,$A137))</f>
        <v/>
      </c>
      <c r="E137" s="38" t="str">
        <f aca="false">IF($A137="","",INDEX('Master Task List'!$M:$M,$A137))</f>
        <v/>
      </c>
      <c r="F137" s="40" t="str">
        <f aca="false">IF($A137="","",INDEX('Master Task List'!$N:$N,$A137))</f>
        <v/>
      </c>
      <c r="G137" s="41"/>
    </row>
    <row r="138" customFormat="false" ht="15" hidden="false" customHeight="false" outlineLevel="0" collapsed="false">
      <c r="A138" s="0" t="str">
        <f aca="false">IFERROR(SMALL('Master Task List'!$T$2:$T$600,137),"")</f>
        <v/>
      </c>
      <c r="B138" s="0" t="str">
        <f aca="false">IF($A138="","",INDEX('Master Task List'!$D:$D,$A138))</f>
        <v/>
      </c>
      <c r="C138" s="0" t="str">
        <f aca="false">IF($A138="","",INDEX('Master Task List'!$B:$B,$A138))</f>
        <v/>
      </c>
      <c r="D138" s="0" t="str">
        <f aca="false">IF($A138="","",INDEX('Master Task List'!$G:$G,$A138))</f>
        <v/>
      </c>
      <c r="E138" s="38" t="str">
        <f aca="false">IF($A138="","",INDEX('Master Task List'!$M:$M,$A138))</f>
        <v/>
      </c>
      <c r="F138" s="40" t="str">
        <f aca="false">IF($A138="","",INDEX('Master Task List'!$N:$N,$A138))</f>
        <v/>
      </c>
      <c r="G138" s="41"/>
    </row>
    <row r="139" customFormat="false" ht="15" hidden="false" customHeight="false" outlineLevel="0" collapsed="false">
      <c r="A139" s="0" t="str">
        <f aca="false">IFERROR(SMALL('Master Task List'!$T$2:$T$600,138),"")</f>
        <v/>
      </c>
      <c r="B139" s="0" t="str">
        <f aca="false">IF($A139="","",INDEX('Master Task List'!$D:$D,$A139))</f>
        <v/>
      </c>
      <c r="C139" s="0" t="str">
        <f aca="false">IF($A139="","",INDEX('Master Task List'!$B:$B,$A139))</f>
        <v/>
      </c>
      <c r="D139" s="0" t="str">
        <f aca="false">IF($A139="","",INDEX('Master Task List'!$G:$G,$A139))</f>
        <v/>
      </c>
      <c r="E139" s="38" t="str">
        <f aca="false">IF($A139="","",INDEX('Master Task List'!$M:$M,$A139))</f>
        <v/>
      </c>
      <c r="F139" s="40" t="str">
        <f aca="false">IF($A139="","",INDEX('Master Task List'!$N:$N,$A139))</f>
        <v/>
      </c>
      <c r="G139" s="41"/>
    </row>
    <row r="140" customFormat="false" ht="15" hidden="false" customHeight="false" outlineLevel="0" collapsed="false">
      <c r="A140" s="0" t="str">
        <f aca="false">IFERROR(SMALL('Master Task List'!$T$2:$T$600,139),"")</f>
        <v/>
      </c>
      <c r="B140" s="0" t="str">
        <f aca="false">IF($A140="","",INDEX('Master Task List'!$D:$D,$A140))</f>
        <v/>
      </c>
      <c r="C140" s="0" t="str">
        <f aca="false">IF($A140="","",INDEX('Master Task List'!$B:$B,$A140))</f>
        <v/>
      </c>
      <c r="D140" s="0" t="str">
        <f aca="false">IF($A140="","",INDEX('Master Task List'!$G:$G,$A140))</f>
        <v/>
      </c>
      <c r="E140" s="38" t="str">
        <f aca="false">IF($A140="","",INDEX('Master Task List'!$M:$M,$A140))</f>
        <v/>
      </c>
      <c r="F140" s="40" t="str">
        <f aca="false">IF($A140="","",INDEX('Master Task List'!$N:$N,$A140))</f>
        <v/>
      </c>
      <c r="G140" s="41"/>
    </row>
    <row r="141" customFormat="false" ht="15" hidden="false" customHeight="false" outlineLevel="0" collapsed="false">
      <c r="A141" s="0" t="str">
        <f aca="false">IFERROR(SMALL('Master Task List'!$T$2:$T$600,140),"")</f>
        <v/>
      </c>
      <c r="B141" s="0" t="str">
        <f aca="false">IF($A141="","",INDEX('Master Task List'!$D:$D,$A141))</f>
        <v/>
      </c>
      <c r="C141" s="0" t="str">
        <f aca="false">IF($A141="","",INDEX('Master Task List'!$B:$B,$A141))</f>
        <v/>
      </c>
      <c r="D141" s="0" t="str">
        <f aca="false">IF($A141="","",INDEX('Master Task List'!$G:$G,$A141))</f>
        <v/>
      </c>
      <c r="E141" s="38" t="str">
        <f aca="false">IF($A141="","",INDEX('Master Task List'!$M:$M,$A141))</f>
        <v/>
      </c>
      <c r="F141" s="40" t="str">
        <f aca="false">IF($A141="","",INDEX('Master Task List'!$N:$N,$A141))</f>
        <v/>
      </c>
      <c r="G141" s="41"/>
    </row>
    <row r="142" customFormat="false" ht="15" hidden="false" customHeight="false" outlineLevel="0" collapsed="false">
      <c r="A142" s="0" t="str">
        <f aca="false">IFERROR(SMALL('Master Task List'!$T$2:$T$600,141),"")</f>
        <v/>
      </c>
      <c r="B142" s="0" t="str">
        <f aca="false">IF($A142="","",INDEX('Master Task List'!$D:$D,$A142))</f>
        <v/>
      </c>
      <c r="C142" s="0" t="str">
        <f aca="false">IF($A142="","",INDEX('Master Task List'!$B:$B,$A142))</f>
        <v/>
      </c>
      <c r="D142" s="0" t="str">
        <f aca="false">IF($A142="","",INDEX('Master Task List'!$G:$G,$A142))</f>
        <v/>
      </c>
      <c r="E142" s="38" t="str">
        <f aca="false">IF($A142="","",INDEX('Master Task List'!$M:$M,$A142))</f>
        <v/>
      </c>
      <c r="F142" s="40" t="str">
        <f aca="false">IF($A142="","",INDEX('Master Task List'!$N:$N,$A142))</f>
        <v/>
      </c>
      <c r="G142" s="41"/>
    </row>
    <row r="143" customFormat="false" ht="15" hidden="false" customHeight="false" outlineLevel="0" collapsed="false">
      <c r="A143" s="0" t="str">
        <f aca="false">IFERROR(SMALL('Master Task List'!$T$2:$T$600,142),"")</f>
        <v/>
      </c>
      <c r="B143" s="0" t="str">
        <f aca="false">IF($A143="","",INDEX('Master Task List'!$D:$D,$A143))</f>
        <v/>
      </c>
      <c r="C143" s="0" t="str">
        <f aca="false">IF($A143="","",INDEX('Master Task List'!$B:$B,$A143))</f>
        <v/>
      </c>
      <c r="D143" s="0" t="str">
        <f aca="false">IF($A143="","",INDEX('Master Task List'!$G:$G,$A143))</f>
        <v/>
      </c>
      <c r="E143" s="38" t="str">
        <f aca="false">IF($A143="","",INDEX('Master Task List'!$M:$M,$A143))</f>
        <v/>
      </c>
      <c r="F143" s="40" t="str">
        <f aca="false">IF($A143="","",INDEX('Master Task List'!$N:$N,$A143))</f>
        <v/>
      </c>
      <c r="G143" s="41"/>
    </row>
    <row r="144" customFormat="false" ht="15" hidden="false" customHeight="false" outlineLevel="0" collapsed="false">
      <c r="A144" s="0" t="str">
        <f aca="false">IFERROR(SMALL('Master Task List'!$T$2:$T$600,143),"")</f>
        <v/>
      </c>
      <c r="B144" s="0" t="str">
        <f aca="false">IF($A144="","",INDEX('Master Task List'!$D:$D,$A144))</f>
        <v/>
      </c>
      <c r="C144" s="0" t="str">
        <f aca="false">IF($A144="","",INDEX('Master Task List'!$B:$B,$A144))</f>
        <v/>
      </c>
      <c r="D144" s="0" t="str">
        <f aca="false">IF($A144="","",INDEX('Master Task List'!$G:$G,$A144))</f>
        <v/>
      </c>
      <c r="E144" s="38" t="str">
        <f aca="false">IF($A144="","",INDEX('Master Task List'!$M:$M,$A144))</f>
        <v/>
      </c>
      <c r="F144" s="40" t="str">
        <f aca="false">IF($A144="","",INDEX('Master Task List'!$N:$N,$A144))</f>
        <v/>
      </c>
      <c r="G144" s="41"/>
    </row>
    <row r="145" customFormat="false" ht="15" hidden="false" customHeight="false" outlineLevel="0" collapsed="false">
      <c r="A145" s="0" t="str">
        <f aca="false">IFERROR(SMALL('Master Task List'!$T$2:$T$600,144),"")</f>
        <v/>
      </c>
      <c r="B145" s="0" t="str">
        <f aca="false">IF($A145="","",INDEX('Master Task List'!$D:$D,$A145))</f>
        <v/>
      </c>
      <c r="C145" s="0" t="str">
        <f aca="false">IF($A145="","",INDEX('Master Task List'!$B:$B,$A145))</f>
        <v/>
      </c>
      <c r="D145" s="0" t="str">
        <f aca="false">IF($A145="","",INDEX('Master Task List'!$G:$G,$A145))</f>
        <v/>
      </c>
      <c r="E145" s="38" t="str">
        <f aca="false">IF($A145="","",INDEX('Master Task List'!$M:$M,$A145))</f>
        <v/>
      </c>
      <c r="F145" s="40" t="str">
        <f aca="false">IF($A145="","",INDEX('Master Task List'!$N:$N,$A145))</f>
        <v/>
      </c>
      <c r="G145" s="41"/>
    </row>
    <row r="146" customFormat="false" ht="15" hidden="false" customHeight="false" outlineLevel="0" collapsed="false">
      <c r="A146" s="0" t="str">
        <f aca="false">IFERROR(SMALL('Master Task List'!$T$2:$T$600,145),"")</f>
        <v/>
      </c>
      <c r="B146" s="0" t="str">
        <f aca="false">IF($A146="","",INDEX('Master Task List'!$D:$D,$A146))</f>
        <v/>
      </c>
      <c r="C146" s="0" t="str">
        <f aca="false">IF($A146="","",INDEX('Master Task List'!$B:$B,$A146))</f>
        <v/>
      </c>
      <c r="D146" s="0" t="str">
        <f aca="false">IF($A146="","",INDEX('Master Task List'!$G:$G,$A146))</f>
        <v/>
      </c>
      <c r="E146" s="38" t="str">
        <f aca="false">IF($A146="","",INDEX('Master Task List'!$M:$M,$A146))</f>
        <v/>
      </c>
      <c r="F146" s="40" t="str">
        <f aca="false">IF($A146="","",INDEX('Master Task List'!$N:$N,$A146))</f>
        <v/>
      </c>
      <c r="G146" s="41"/>
    </row>
    <row r="147" customFormat="false" ht="15" hidden="false" customHeight="false" outlineLevel="0" collapsed="false">
      <c r="A147" s="0" t="str">
        <f aca="false">IFERROR(SMALL('Master Task List'!$T$2:$T$600,146),"")</f>
        <v/>
      </c>
      <c r="B147" s="0" t="str">
        <f aca="false">IF($A147="","",INDEX('Master Task List'!$D:$D,$A147))</f>
        <v/>
      </c>
      <c r="C147" s="0" t="str">
        <f aca="false">IF($A147="","",INDEX('Master Task List'!$B:$B,$A147))</f>
        <v/>
      </c>
      <c r="D147" s="0" t="str">
        <f aca="false">IF($A147="","",INDEX('Master Task List'!$G:$G,$A147))</f>
        <v/>
      </c>
      <c r="E147" s="38" t="str">
        <f aca="false">IF($A147="","",INDEX('Master Task List'!$M:$M,$A147))</f>
        <v/>
      </c>
      <c r="F147" s="40" t="str">
        <f aca="false">IF($A147="","",INDEX('Master Task List'!$N:$N,$A147))</f>
        <v/>
      </c>
      <c r="G147" s="41"/>
    </row>
    <row r="148" customFormat="false" ht="15" hidden="false" customHeight="false" outlineLevel="0" collapsed="false">
      <c r="A148" s="0" t="str">
        <f aca="false">IFERROR(SMALL('Master Task List'!$T$2:$T$600,147),"")</f>
        <v/>
      </c>
      <c r="B148" s="0" t="str">
        <f aca="false">IF($A148="","",INDEX('Master Task List'!$D:$D,$A148))</f>
        <v/>
      </c>
      <c r="C148" s="0" t="str">
        <f aca="false">IF($A148="","",INDEX('Master Task List'!$B:$B,$A148))</f>
        <v/>
      </c>
      <c r="D148" s="0" t="str">
        <f aca="false">IF($A148="","",INDEX('Master Task List'!$G:$G,$A148))</f>
        <v/>
      </c>
      <c r="E148" s="38" t="str">
        <f aca="false">IF($A148="","",INDEX('Master Task List'!$M:$M,$A148))</f>
        <v/>
      </c>
      <c r="F148" s="40" t="str">
        <f aca="false">IF($A148="","",INDEX('Master Task List'!$N:$N,$A148))</f>
        <v/>
      </c>
      <c r="G148" s="41"/>
    </row>
    <row r="149" customFormat="false" ht="15" hidden="false" customHeight="false" outlineLevel="0" collapsed="false">
      <c r="A149" s="0" t="str">
        <f aca="false">IFERROR(SMALL('Master Task List'!$T$2:$T$600,148),"")</f>
        <v/>
      </c>
      <c r="B149" s="0" t="str">
        <f aca="false">IF($A149="","",INDEX('Master Task List'!$D:$D,$A149))</f>
        <v/>
      </c>
      <c r="C149" s="0" t="str">
        <f aca="false">IF($A149="","",INDEX('Master Task List'!$B:$B,$A149))</f>
        <v/>
      </c>
      <c r="D149" s="0" t="str">
        <f aca="false">IF($A149="","",INDEX('Master Task List'!$G:$G,$A149))</f>
        <v/>
      </c>
      <c r="E149" s="38" t="str">
        <f aca="false">IF($A149="","",INDEX('Master Task List'!$M:$M,$A149))</f>
        <v/>
      </c>
      <c r="F149" s="40" t="str">
        <f aca="false">IF($A149="","",INDEX('Master Task List'!$N:$N,$A149))</f>
        <v/>
      </c>
      <c r="G149" s="41"/>
    </row>
    <row r="150" customFormat="false" ht="15" hidden="false" customHeight="false" outlineLevel="0" collapsed="false">
      <c r="A150" s="0" t="str">
        <f aca="false">IFERROR(SMALL('Master Task List'!$T$2:$T$600,149),"")</f>
        <v/>
      </c>
      <c r="B150" s="0" t="str">
        <f aca="false">IF($A150="","",INDEX('Master Task List'!$D:$D,$A150))</f>
        <v/>
      </c>
      <c r="C150" s="0" t="str">
        <f aca="false">IF($A150="","",INDEX('Master Task List'!$B:$B,$A150))</f>
        <v/>
      </c>
      <c r="D150" s="0" t="str">
        <f aca="false">IF($A150="","",INDEX('Master Task List'!$G:$G,$A150))</f>
        <v/>
      </c>
      <c r="E150" s="38" t="str">
        <f aca="false">IF($A150="","",INDEX('Master Task List'!$M:$M,$A150))</f>
        <v/>
      </c>
      <c r="F150" s="40" t="str">
        <f aca="false">IF($A150="","",INDEX('Master Task List'!$N:$N,$A150))</f>
        <v/>
      </c>
      <c r="G150" s="41"/>
    </row>
    <row r="151" customFormat="false" ht="15" hidden="false" customHeight="false" outlineLevel="0" collapsed="false">
      <c r="A151" s="0" t="str">
        <f aca="false">IFERROR(SMALL('Master Task List'!$T$2:$T$600,150),"")</f>
        <v/>
      </c>
      <c r="B151" s="0" t="str">
        <f aca="false">IF($A151="","",INDEX('Master Task List'!$D:$D,$A151))</f>
        <v/>
      </c>
      <c r="C151" s="0" t="str">
        <f aca="false">IF($A151="","",INDEX('Master Task List'!$B:$B,$A151))</f>
        <v/>
      </c>
      <c r="D151" s="0" t="str">
        <f aca="false">IF($A151="","",INDEX('Master Task List'!$G:$G,$A151))</f>
        <v/>
      </c>
      <c r="E151" s="38" t="str">
        <f aca="false">IF($A151="","",INDEX('Master Task List'!$M:$M,$A151))</f>
        <v/>
      </c>
      <c r="F151" s="40" t="str">
        <f aca="false">IF($A151="","",INDEX('Master Task List'!$N:$N,$A151))</f>
        <v/>
      </c>
      <c r="G151" s="41"/>
    </row>
    <row r="152" customFormat="false" ht="15" hidden="false" customHeight="false" outlineLevel="0" collapsed="false">
      <c r="A152" s="0" t="str">
        <f aca="false">IFERROR(SMALL('Master Task List'!$T$2:$T$600,151),"")</f>
        <v/>
      </c>
      <c r="B152" s="0" t="str">
        <f aca="false">IF($A152="","",INDEX('Master Task List'!$D:$D,$A152))</f>
        <v/>
      </c>
      <c r="C152" s="0" t="str">
        <f aca="false">IF($A152="","",INDEX('Master Task List'!$B:$B,$A152))</f>
        <v/>
      </c>
      <c r="D152" s="0" t="str">
        <f aca="false">IF($A152="","",INDEX('Master Task List'!$G:$G,$A152))</f>
        <v/>
      </c>
      <c r="E152" s="38" t="str">
        <f aca="false">IF($A152="","",INDEX('Master Task List'!$M:$M,$A152))</f>
        <v/>
      </c>
      <c r="F152" s="40" t="str">
        <f aca="false">IF($A152="","",INDEX('Master Task List'!$N:$N,$A152))</f>
        <v/>
      </c>
      <c r="G152" s="41"/>
    </row>
    <row r="153" customFormat="false" ht="15" hidden="false" customHeight="false" outlineLevel="0" collapsed="false">
      <c r="A153" s="0" t="str">
        <f aca="false">IFERROR(SMALL('Master Task List'!$T$2:$T$600,152),"")</f>
        <v/>
      </c>
      <c r="B153" s="0" t="str">
        <f aca="false">IF($A153="","",INDEX('Master Task List'!$D:$D,$A153))</f>
        <v/>
      </c>
      <c r="C153" s="0" t="str">
        <f aca="false">IF($A153="","",INDEX('Master Task List'!$B:$B,$A153))</f>
        <v/>
      </c>
      <c r="D153" s="0" t="str">
        <f aca="false">IF($A153="","",INDEX('Master Task List'!$G:$G,$A153))</f>
        <v/>
      </c>
      <c r="E153" s="38" t="str">
        <f aca="false">IF($A153="","",INDEX('Master Task List'!$M:$M,$A153))</f>
        <v/>
      </c>
      <c r="F153" s="40" t="str">
        <f aca="false">IF($A153="","",INDEX('Master Task List'!$N:$N,$A153))</f>
        <v/>
      </c>
      <c r="G153" s="41"/>
    </row>
    <row r="154" customFormat="false" ht="15" hidden="false" customHeight="false" outlineLevel="0" collapsed="false">
      <c r="A154" s="0" t="str">
        <f aca="false">IFERROR(SMALL('Master Task List'!$T$2:$T$600,153),"")</f>
        <v/>
      </c>
      <c r="B154" s="0" t="str">
        <f aca="false">IF($A154="","",INDEX('Master Task List'!$D:$D,$A154))</f>
        <v/>
      </c>
      <c r="C154" s="0" t="str">
        <f aca="false">IF($A154="","",INDEX('Master Task List'!$B:$B,$A154))</f>
        <v/>
      </c>
      <c r="D154" s="0" t="str">
        <f aca="false">IF($A154="","",INDEX('Master Task List'!$G:$G,$A154))</f>
        <v/>
      </c>
      <c r="E154" s="38" t="str">
        <f aca="false">IF($A154="","",INDEX('Master Task List'!$M:$M,$A154))</f>
        <v/>
      </c>
      <c r="F154" s="40" t="str">
        <f aca="false">IF($A154="","",INDEX('Master Task List'!$N:$N,$A154))</f>
        <v/>
      </c>
      <c r="G154" s="41"/>
    </row>
    <row r="155" customFormat="false" ht="15" hidden="false" customHeight="false" outlineLevel="0" collapsed="false">
      <c r="A155" s="0" t="str">
        <f aca="false">IFERROR(SMALL('Master Task List'!$T$2:$T$600,154),"")</f>
        <v/>
      </c>
      <c r="B155" s="0" t="str">
        <f aca="false">IF($A155="","",INDEX('Master Task List'!$D:$D,$A155))</f>
        <v/>
      </c>
      <c r="C155" s="0" t="str">
        <f aca="false">IF($A155="","",INDEX('Master Task List'!$B:$B,$A155))</f>
        <v/>
      </c>
      <c r="D155" s="0" t="str">
        <f aca="false">IF($A155="","",INDEX('Master Task List'!$G:$G,$A155))</f>
        <v/>
      </c>
      <c r="E155" s="38" t="str">
        <f aca="false">IF($A155="","",INDEX('Master Task List'!$M:$M,$A155))</f>
        <v/>
      </c>
      <c r="F155" s="40" t="str">
        <f aca="false">IF($A155="","",INDEX('Master Task List'!$N:$N,$A155))</f>
        <v/>
      </c>
      <c r="G155" s="41"/>
    </row>
    <row r="156" customFormat="false" ht="15" hidden="false" customHeight="false" outlineLevel="0" collapsed="false">
      <c r="A156" s="0" t="str">
        <f aca="false">IFERROR(SMALL('Master Task List'!$T$2:$T$600,155),"")</f>
        <v/>
      </c>
      <c r="B156" s="0" t="str">
        <f aca="false">IF($A156="","",INDEX('Master Task List'!$D:$D,$A156))</f>
        <v/>
      </c>
      <c r="C156" s="0" t="str">
        <f aca="false">IF($A156="","",INDEX('Master Task List'!$B:$B,$A156))</f>
        <v/>
      </c>
      <c r="D156" s="0" t="str">
        <f aca="false">IF($A156="","",INDEX('Master Task List'!$G:$G,$A156))</f>
        <v/>
      </c>
      <c r="E156" s="38" t="str">
        <f aca="false">IF($A156="","",INDEX('Master Task List'!$M:$M,$A156))</f>
        <v/>
      </c>
      <c r="F156" s="40" t="str">
        <f aca="false">IF($A156="","",INDEX('Master Task List'!$N:$N,$A156))</f>
        <v/>
      </c>
      <c r="G156" s="41"/>
    </row>
    <row r="157" customFormat="false" ht="15" hidden="false" customHeight="false" outlineLevel="0" collapsed="false">
      <c r="A157" s="0" t="str">
        <f aca="false">IFERROR(SMALL('Master Task List'!$T$2:$T$600,156),"")</f>
        <v/>
      </c>
      <c r="B157" s="0" t="str">
        <f aca="false">IF($A157="","",INDEX('Master Task List'!$D:$D,$A157))</f>
        <v/>
      </c>
      <c r="C157" s="0" t="str">
        <f aca="false">IF($A157="","",INDEX('Master Task List'!$B:$B,$A157))</f>
        <v/>
      </c>
      <c r="D157" s="0" t="str">
        <f aca="false">IF($A157="","",INDEX('Master Task List'!$G:$G,$A157))</f>
        <v/>
      </c>
      <c r="E157" s="38" t="str">
        <f aca="false">IF($A157="","",INDEX('Master Task List'!$M:$M,$A157))</f>
        <v/>
      </c>
      <c r="F157" s="40" t="str">
        <f aca="false">IF($A157="","",INDEX('Master Task List'!$N:$N,$A157))</f>
        <v/>
      </c>
      <c r="G157" s="41"/>
    </row>
    <row r="158" customFormat="false" ht="15" hidden="false" customHeight="false" outlineLevel="0" collapsed="false">
      <c r="A158" s="0" t="str">
        <f aca="false">IFERROR(SMALL('Master Task List'!$T$2:$T$600,157),"")</f>
        <v/>
      </c>
      <c r="B158" s="0" t="str">
        <f aca="false">IF($A158="","",INDEX('Master Task List'!$D:$D,$A158))</f>
        <v/>
      </c>
      <c r="C158" s="0" t="str">
        <f aca="false">IF($A158="","",INDEX('Master Task List'!$B:$B,$A158))</f>
        <v/>
      </c>
      <c r="D158" s="0" t="str">
        <f aca="false">IF($A158="","",INDEX('Master Task List'!$G:$G,$A158))</f>
        <v/>
      </c>
      <c r="E158" s="38" t="str">
        <f aca="false">IF($A158="","",INDEX('Master Task List'!$M:$M,$A158))</f>
        <v/>
      </c>
      <c r="F158" s="40" t="str">
        <f aca="false">IF($A158="","",INDEX('Master Task List'!$N:$N,$A158))</f>
        <v/>
      </c>
      <c r="G158" s="41"/>
    </row>
    <row r="159" customFormat="false" ht="15" hidden="false" customHeight="false" outlineLevel="0" collapsed="false">
      <c r="A159" s="0" t="str">
        <f aca="false">IFERROR(SMALL('Master Task List'!$T$2:$T$600,158),"")</f>
        <v/>
      </c>
      <c r="B159" s="0" t="str">
        <f aca="false">IF($A159="","",INDEX('Master Task List'!$D:$D,$A159))</f>
        <v/>
      </c>
      <c r="C159" s="0" t="str">
        <f aca="false">IF($A159="","",INDEX('Master Task List'!$B:$B,$A159))</f>
        <v/>
      </c>
      <c r="D159" s="0" t="str">
        <f aca="false">IF($A159="","",INDEX('Master Task List'!$G:$G,$A159))</f>
        <v/>
      </c>
      <c r="E159" s="38" t="str">
        <f aca="false">IF($A159="","",INDEX('Master Task List'!$M:$M,$A159))</f>
        <v/>
      </c>
      <c r="F159" s="40" t="str">
        <f aca="false">IF($A159="","",INDEX('Master Task List'!$N:$N,$A159))</f>
        <v/>
      </c>
      <c r="G159" s="41"/>
    </row>
    <row r="160" customFormat="false" ht="15" hidden="false" customHeight="false" outlineLevel="0" collapsed="false">
      <c r="A160" s="0" t="str">
        <f aca="false">IFERROR(SMALL('Master Task List'!$T$2:$T$600,159),"")</f>
        <v/>
      </c>
      <c r="B160" s="0" t="str">
        <f aca="false">IF($A160="","",INDEX('Master Task List'!$D:$D,$A160))</f>
        <v/>
      </c>
      <c r="C160" s="0" t="str">
        <f aca="false">IF($A160="","",INDEX('Master Task List'!$B:$B,$A160))</f>
        <v/>
      </c>
      <c r="D160" s="0" t="str">
        <f aca="false">IF($A160="","",INDEX('Master Task List'!$G:$G,$A160))</f>
        <v/>
      </c>
      <c r="E160" s="38" t="str">
        <f aca="false">IF($A160="","",INDEX('Master Task List'!$M:$M,$A160))</f>
        <v/>
      </c>
      <c r="F160" s="40" t="str">
        <f aca="false">IF($A160="","",INDEX('Master Task List'!$N:$N,$A160))</f>
        <v/>
      </c>
      <c r="G160" s="41"/>
    </row>
    <row r="161" customFormat="false" ht="15" hidden="false" customHeight="false" outlineLevel="0" collapsed="false">
      <c r="A161" s="0" t="str">
        <f aca="false">IFERROR(SMALL('Master Task List'!$T$2:$T$600,160),"")</f>
        <v/>
      </c>
      <c r="B161" s="0" t="str">
        <f aca="false">IF($A161="","",INDEX('Master Task List'!$D:$D,$A161))</f>
        <v/>
      </c>
      <c r="C161" s="0" t="str">
        <f aca="false">IF($A161="","",INDEX('Master Task List'!$B:$B,$A161))</f>
        <v/>
      </c>
      <c r="D161" s="0" t="str">
        <f aca="false">IF($A161="","",INDEX('Master Task List'!$G:$G,$A161))</f>
        <v/>
      </c>
      <c r="E161" s="38" t="str">
        <f aca="false">IF($A161="","",INDEX('Master Task List'!$M:$M,$A161))</f>
        <v/>
      </c>
      <c r="F161" s="40" t="str">
        <f aca="false">IF($A161="","",INDEX('Master Task List'!$N:$N,$A161))</f>
        <v/>
      </c>
      <c r="G161" s="41"/>
    </row>
    <row r="162" customFormat="false" ht="15" hidden="false" customHeight="false" outlineLevel="0" collapsed="false">
      <c r="A162" s="0" t="str">
        <f aca="false">IFERROR(SMALL('Master Task List'!$T$2:$T$600,161),"")</f>
        <v/>
      </c>
      <c r="B162" s="0" t="str">
        <f aca="false">IF($A162="","",INDEX('Master Task List'!$D:$D,$A162))</f>
        <v/>
      </c>
      <c r="C162" s="0" t="str">
        <f aca="false">IF($A162="","",INDEX('Master Task List'!$B:$B,$A162))</f>
        <v/>
      </c>
      <c r="D162" s="0" t="str">
        <f aca="false">IF($A162="","",INDEX('Master Task List'!$G:$G,$A162))</f>
        <v/>
      </c>
      <c r="E162" s="38" t="str">
        <f aca="false">IF($A162="","",INDEX('Master Task List'!$M:$M,$A162))</f>
        <v/>
      </c>
      <c r="F162" s="40" t="str">
        <f aca="false">IF($A162="","",INDEX('Master Task List'!$N:$N,$A162))</f>
        <v/>
      </c>
      <c r="G162" s="41"/>
    </row>
    <row r="163" customFormat="false" ht="15" hidden="false" customHeight="false" outlineLevel="0" collapsed="false">
      <c r="A163" s="0" t="str">
        <f aca="false">IFERROR(SMALL('Master Task List'!$T$2:$T$600,162),"")</f>
        <v/>
      </c>
      <c r="B163" s="0" t="str">
        <f aca="false">IF($A163="","",INDEX('Master Task List'!$D:$D,$A163))</f>
        <v/>
      </c>
      <c r="C163" s="0" t="str">
        <f aca="false">IF($A163="","",INDEX('Master Task List'!$B:$B,$A163))</f>
        <v/>
      </c>
      <c r="D163" s="0" t="str">
        <f aca="false">IF($A163="","",INDEX('Master Task List'!$G:$G,$A163))</f>
        <v/>
      </c>
      <c r="E163" s="38" t="str">
        <f aca="false">IF($A163="","",INDEX('Master Task List'!$M:$M,$A163))</f>
        <v/>
      </c>
      <c r="F163" s="40" t="str">
        <f aca="false">IF($A163="","",INDEX('Master Task List'!$N:$N,$A163))</f>
        <v/>
      </c>
      <c r="G163" s="41"/>
    </row>
    <row r="164" customFormat="false" ht="15" hidden="false" customHeight="false" outlineLevel="0" collapsed="false">
      <c r="A164" s="0" t="str">
        <f aca="false">IFERROR(SMALL('Master Task List'!$T$2:$T$600,163),"")</f>
        <v/>
      </c>
      <c r="B164" s="0" t="str">
        <f aca="false">IF($A164="","",INDEX('Master Task List'!$D:$D,$A164))</f>
        <v/>
      </c>
      <c r="C164" s="0" t="str">
        <f aca="false">IF($A164="","",INDEX('Master Task List'!$B:$B,$A164))</f>
        <v/>
      </c>
      <c r="D164" s="0" t="str">
        <f aca="false">IF($A164="","",INDEX('Master Task List'!$G:$G,$A164))</f>
        <v/>
      </c>
      <c r="E164" s="38" t="str">
        <f aca="false">IF($A164="","",INDEX('Master Task List'!$M:$M,$A164))</f>
        <v/>
      </c>
      <c r="F164" s="40" t="str">
        <f aca="false">IF($A164="","",INDEX('Master Task List'!$N:$N,$A164))</f>
        <v/>
      </c>
      <c r="G164" s="41"/>
    </row>
    <row r="165" customFormat="false" ht="15" hidden="false" customHeight="false" outlineLevel="0" collapsed="false">
      <c r="A165" s="0" t="str">
        <f aca="false">IFERROR(SMALL('Master Task List'!$T$2:$T$600,164),"")</f>
        <v/>
      </c>
      <c r="B165" s="0" t="str">
        <f aca="false">IF($A165="","",INDEX('Master Task List'!$D:$D,$A165))</f>
        <v/>
      </c>
      <c r="C165" s="0" t="str">
        <f aca="false">IF($A165="","",INDEX('Master Task List'!$B:$B,$A165))</f>
        <v/>
      </c>
      <c r="D165" s="0" t="str">
        <f aca="false">IF($A165="","",INDEX('Master Task List'!$G:$G,$A165))</f>
        <v/>
      </c>
      <c r="E165" s="38" t="str">
        <f aca="false">IF($A165="","",INDEX('Master Task List'!$M:$M,$A165))</f>
        <v/>
      </c>
      <c r="F165" s="40" t="str">
        <f aca="false">IF($A165="","",INDEX('Master Task List'!$N:$N,$A165))</f>
        <v/>
      </c>
      <c r="G165" s="41"/>
    </row>
    <row r="166" customFormat="false" ht="15" hidden="false" customHeight="false" outlineLevel="0" collapsed="false">
      <c r="A166" s="0" t="str">
        <f aca="false">IFERROR(SMALL('Master Task List'!$T$2:$T$600,165),"")</f>
        <v/>
      </c>
      <c r="B166" s="0" t="str">
        <f aca="false">IF($A166="","",INDEX('Master Task List'!$D:$D,$A166))</f>
        <v/>
      </c>
      <c r="C166" s="0" t="str">
        <f aca="false">IF($A166="","",INDEX('Master Task List'!$B:$B,$A166))</f>
        <v/>
      </c>
      <c r="D166" s="0" t="str">
        <f aca="false">IF($A166="","",INDEX('Master Task List'!$G:$G,$A166))</f>
        <v/>
      </c>
      <c r="E166" s="38" t="str">
        <f aca="false">IF($A166="","",INDEX('Master Task List'!$M:$M,$A166))</f>
        <v/>
      </c>
      <c r="F166" s="40" t="str">
        <f aca="false">IF($A166="","",INDEX('Master Task List'!$N:$N,$A166))</f>
        <v/>
      </c>
      <c r="G166" s="41"/>
    </row>
    <row r="167" customFormat="false" ht="15" hidden="false" customHeight="false" outlineLevel="0" collapsed="false">
      <c r="A167" s="0" t="str">
        <f aca="false">IFERROR(SMALL('Master Task List'!$T$2:$T$600,166),"")</f>
        <v/>
      </c>
      <c r="B167" s="0" t="str">
        <f aca="false">IF($A167="","",INDEX('Master Task List'!$D:$D,$A167))</f>
        <v/>
      </c>
      <c r="C167" s="0" t="str">
        <f aca="false">IF($A167="","",INDEX('Master Task List'!$B:$B,$A167))</f>
        <v/>
      </c>
      <c r="D167" s="0" t="str">
        <f aca="false">IF($A167="","",INDEX('Master Task List'!$G:$G,$A167))</f>
        <v/>
      </c>
      <c r="E167" s="38" t="str">
        <f aca="false">IF($A167="","",INDEX('Master Task List'!$M:$M,$A167))</f>
        <v/>
      </c>
      <c r="F167" s="40" t="str">
        <f aca="false">IF($A167="","",INDEX('Master Task List'!$N:$N,$A167))</f>
        <v/>
      </c>
      <c r="G167" s="41"/>
    </row>
    <row r="168" customFormat="false" ht="15" hidden="false" customHeight="false" outlineLevel="0" collapsed="false">
      <c r="A168" s="0" t="str">
        <f aca="false">IFERROR(SMALL('Master Task List'!$T$2:$T$600,167),"")</f>
        <v/>
      </c>
      <c r="B168" s="0" t="str">
        <f aca="false">IF($A168="","",INDEX('Master Task List'!$D:$D,$A168))</f>
        <v/>
      </c>
      <c r="C168" s="0" t="str">
        <f aca="false">IF($A168="","",INDEX('Master Task List'!$B:$B,$A168))</f>
        <v/>
      </c>
      <c r="D168" s="0" t="str">
        <f aca="false">IF($A168="","",INDEX('Master Task List'!$G:$G,$A168))</f>
        <v/>
      </c>
      <c r="E168" s="38" t="str">
        <f aca="false">IF($A168="","",INDEX('Master Task List'!$M:$M,$A168))</f>
        <v/>
      </c>
      <c r="F168" s="40" t="str">
        <f aca="false">IF($A168="","",INDEX('Master Task List'!$N:$N,$A168))</f>
        <v/>
      </c>
      <c r="G168" s="41"/>
    </row>
    <row r="169" customFormat="false" ht="15" hidden="false" customHeight="false" outlineLevel="0" collapsed="false">
      <c r="A169" s="0" t="str">
        <f aca="false">IFERROR(SMALL('Master Task List'!$T$2:$T$600,168),"")</f>
        <v/>
      </c>
      <c r="B169" s="0" t="str">
        <f aca="false">IF($A169="","",INDEX('Master Task List'!$D:$D,$A169))</f>
        <v/>
      </c>
      <c r="C169" s="0" t="str">
        <f aca="false">IF($A169="","",INDEX('Master Task List'!$B:$B,$A169))</f>
        <v/>
      </c>
      <c r="D169" s="0" t="str">
        <f aca="false">IF($A169="","",INDEX('Master Task List'!$G:$G,$A169))</f>
        <v/>
      </c>
      <c r="E169" s="38" t="str">
        <f aca="false">IF($A169="","",INDEX('Master Task List'!$M:$M,$A169))</f>
        <v/>
      </c>
      <c r="F169" s="40" t="str">
        <f aca="false">IF($A169="","",INDEX('Master Task List'!$N:$N,$A169))</f>
        <v/>
      </c>
      <c r="G169" s="41"/>
    </row>
    <row r="170" customFormat="false" ht="15" hidden="false" customHeight="false" outlineLevel="0" collapsed="false">
      <c r="A170" s="0" t="str">
        <f aca="false">IFERROR(SMALL('Master Task List'!$T$2:$T$600,169),"")</f>
        <v/>
      </c>
      <c r="B170" s="0" t="str">
        <f aca="false">IF($A170="","",INDEX('Master Task List'!$D:$D,$A170))</f>
        <v/>
      </c>
      <c r="C170" s="0" t="str">
        <f aca="false">IF($A170="","",INDEX('Master Task List'!$B:$B,$A170))</f>
        <v/>
      </c>
      <c r="D170" s="0" t="str">
        <f aca="false">IF($A170="","",INDEX('Master Task List'!$G:$G,$A170))</f>
        <v/>
      </c>
      <c r="E170" s="38" t="str">
        <f aca="false">IF($A170="","",INDEX('Master Task List'!$M:$M,$A170))</f>
        <v/>
      </c>
      <c r="F170" s="40" t="str">
        <f aca="false">IF($A170="","",INDEX('Master Task List'!$N:$N,$A170))</f>
        <v/>
      </c>
      <c r="G170" s="41"/>
    </row>
    <row r="171" customFormat="false" ht="15" hidden="false" customHeight="false" outlineLevel="0" collapsed="false">
      <c r="A171" s="0" t="str">
        <f aca="false">IFERROR(SMALL('Master Task List'!$T$2:$T$600,170),"")</f>
        <v/>
      </c>
      <c r="B171" s="0" t="str">
        <f aca="false">IF($A171="","",INDEX('Master Task List'!$D:$D,$A171))</f>
        <v/>
      </c>
      <c r="C171" s="0" t="str">
        <f aca="false">IF($A171="","",INDEX('Master Task List'!$B:$B,$A171))</f>
        <v/>
      </c>
      <c r="D171" s="0" t="str">
        <f aca="false">IF($A171="","",INDEX('Master Task List'!$G:$G,$A171))</f>
        <v/>
      </c>
      <c r="E171" s="38" t="str">
        <f aca="false">IF($A171="","",INDEX('Master Task List'!$M:$M,$A171))</f>
        <v/>
      </c>
      <c r="F171" s="40" t="str">
        <f aca="false">IF($A171="","",INDEX('Master Task List'!$N:$N,$A171))</f>
        <v/>
      </c>
      <c r="G171" s="41"/>
    </row>
    <row r="172" customFormat="false" ht="15" hidden="false" customHeight="false" outlineLevel="0" collapsed="false">
      <c r="A172" s="0" t="str">
        <f aca="false">IFERROR(SMALL('Master Task List'!$T$2:$T$600,171),"")</f>
        <v/>
      </c>
      <c r="B172" s="0" t="str">
        <f aca="false">IF($A172="","",INDEX('Master Task List'!$D:$D,$A172))</f>
        <v/>
      </c>
      <c r="C172" s="0" t="str">
        <f aca="false">IF($A172="","",INDEX('Master Task List'!$B:$B,$A172))</f>
        <v/>
      </c>
      <c r="D172" s="0" t="str">
        <f aca="false">IF($A172="","",INDEX('Master Task List'!$G:$G,$A172))</f>
        <v/>
      </c>
      <c r="E172" s="38" t="str">
        <f aca="false">IF($A172="","",INDEX('Master Task List'!$M:$M,$A172))</f>
        <v/>
      </c>
      <c r="F172" s="40" t="str">
        <f aca="false">IF($A172="","",INDEX('Master Task List'!$N:$N,$A172))</f>
        <v/>
      </c>
      <c r="G172" s="41"/>
    </row>
    <row r="173" customFormat="false" ht="15" hidden="false" customHeight="false" outlineLevel="0" collapsed="false">
      <c r="A173" s="0" t="str">
        <f aca="false">IFERROR(SMALL('Master Task List'!$T$2:$T$600,172),"")</f>
        <v/>
      </c>
      <c r="B173" s="0" t="str">
        <f aca="false">IF($A173="","",INDEX('Master Task List'!$D:$D,$A173))</f>
        <v/>
      </c>
      <c r="C173" s="0" t="str">
        <f aca="false">IF($A173="","",INDEX('Master Task List'!$B:$B,$A173))</f>
        <v/>
      </c>
      <c r="D173" s="0" t="str">
        <f aca="false">IF($A173="","",INDEX('Master Task List'!$G:$G,$A173))</f>
        <v/>
      </c>
      <c r="E173" s="38" t="str">
        <f aca="false">IF($A173="","",INDEX('Master Task List'!$M:$M,$A173))</f>
        <v/>
      </c>
      <c r="F173" s="40" t="str">
        <f aca="false">IF($A173="","",INDEX('Master Task List'!$N:$N,$A173))</f>
        <v/>
      </c>
      <c r="G173" s="41"/>
    </row>
    <row r="174" customFormat="false" ht="15" hidden="false" customHeight="false" outlineLevel="0" collapsed="false">
      <c r="A174" s="0" t="str">
        <f aca="false">IFERROR(SMALL('Master Task List'!$T$2:$T$600,173),"")</f>
        <v/>
      </c>
      <c r="B174" s="0" t="str">
        <f aca="false">IF($A174="","",INDEX('Master Task List'!$D:$D,$A174))</f>
        <v/>
      </c>
      <c r="C174" s="0" t="str">
        <f aca="false">IF($A174="","",INDEX('Master Task List'!$B:$B,$A174))</f>
        <v/>
      </c>
      <c r="D174" s="0" t="str">
        <f aca="false">IF($A174="","",INDEX('Master Task List'!$G:$G,$A174))</f>
        <v/>
      </c>
      <c r="E174" s="38" t="str">
        <f aca="false">IF($A174="","",INDEX('Master Task List'!$M:$M,$A174))</f>
        <v/>
      </c>
      <c r="F174" s="40" t="str">
        <f aca="false">IF($A174="","",INDEX('Master Task List'!$N:$N,$A174))</f>
        <v/>
      </c>
      <c r="G174" s="41"/>
    </row>
    <row r="175" customFormat="false" ht="15" hidden="false" customHeight="false" outlineLevel="0" collapsed="false">
      <c r="A175" s="0" t="str">
        <f aca="false">IFERROR(SMALL('Master Task List'!$T$2:$T$600,174),"")</f>
        <v/>
      </c>
      <c r="B175" s="0" t="str">
        <f aca="false">IF($A175="","",INDEX('Master Task List'!$D:$D,$A175))</f>
        <v/>
      </c>
      <c r="C175" s="0" t="str">
        <f aca="false">IF($A175="","",INDEX('Master Task List'!$B:$B,$A175))</f>
        <v/>
      </c>
      <c r="D175" s="0" t="str">
        <f aca="false">IF($A175="","",INDEX('Master Task List'!$G:$G,$A175))</f>
        <v/>
      </c>
      <c r="E175" s="38" t="str">
        <f aca="false">IF($A175="","",INDEX('Master Task List'!$M:$M,$A175))</f>
        <v/>
      </c>
      <c r="F175" s="40" t="str">
        <f aca="false">IF($A175="","",INDEX('Master Task List'!$N:$N,$A175))</f>
        <v/>
      </c>
      <c r="G175" s="41"/>
    </row>
    <row r="176" customFormat="false" ht="15" hidden="false" customHeight="false" outlineLevel="0" collapsed="false">
      <c r="A176" s="0" t="str">
        <f aca="false">IFERROR(SMALL('Master Task List'!$T$2:$T$600,175),"")</f>
        <v/>
      </c>
      <c r="B176" s="0" t="str">
        <f aca="false">IF($A176="","",INDEX('Master Task List'!$D:$D,$A176))</f>
        <v/>
      </c>
      <c r="C176" s="0" t="str">
        <f aca="false">IF($A176="","",INDEX('Master Task List'!$B:$B,$A176))</f>
        <v/>
      </c>
      <c r="D176" s="0" t="str">
        <f aca="false">IF($A176="","",INDEX('Master Task List'!$G:$G,$A176))</f>
        <v/>
      </c>
      <c r="E176" s="38" t="str">
        <f aca="false">IF($A176="","",INDEX('Master Task List'!$M:$M,$A176))</f>
        <v/>
      </c>
      <c r="F176" s="40" t="str">
        <f aca="false">IF($A176="","",INDEX('Master Task List'!$N:$N,$A176))</f>
        <v/>
      </c>
      <c r="G176" s="41"/>
    </row>
    <row r="177" customFormat="false" ht="15" hidden="false" customHeight="false" outlineLevel="0" collapsed="false">
      <c r="A177" s="0" t="str">
        <f aca="false">IFERROR(SMALL('Master Task List'!$T$2:$T$600,176),"")</f>
        <v/>
      </c>
      <c r="B177" s="0" t="str">
        <f aca="false">IF($A177="","",INDEX('Master Task List'!$D:$D,$A177))</f>
        <v/>
      </c>
      <c r="C177" s="0" t="str">
        <f aca="false">IF($A177="","",INDEX('Master Task List'!$B:$B,$A177))</f>
        <v/>
      </c>
      <c r="D177" s="0" t="str">
        <f aca="false">IF($A177="","",INDEX('Master Task List'!$G:$G,$A177))</f>
        <v/>
      </c>
      <c r="E177" s="38" t="str">
        <f aca="false">IF($A177="","",INDEX('Master Task List'!$M:$M,$A177))</f>
        <v/>
      </c>
      <c r="F177" s="40" t="str">
        <f aca="false">IF($A177="","",INDEX('Master Task List'!$N:$N,$A177))</f>
        <v/>
      </c>
      <c r="G177" s="41"/>
    </row>
    <row r="178" customFormat="false" ht="15" hidden="false" customHeight="false" outlineLevel="0" collapsed="false">
      <c r="A178" s="0" t="str">
        <f aca="false">IFERROR(SMALL('Master Task List'!$T$2:$T$600,177),"")</f>
        <v/>
      </c>
      <c r="B178" s="0" t="str">
        <f aca="false">IF($A178="","",INDEX('Master Task List'!$D:$D,$A178))</f>
        <v/>
      </c>
      <c r="C178" s="0" t="str">
        <f aca="false">IF($A178="","",INDEX('Master Task List'!$B:$B,$A178))</f>
        <v/>
      </c>
      <c r="D178" s="0" t="str">
        <f aca="false">IF($A178="","",INDEX('Master Task List'!$G:$G,$A178))</f>
        <v/>
      </c>
      <c r="E178" s="38" t="str">
        <f aca="false">IF($A178="","",INDEX('Master Task List'!$M:$M,$A178))</f>
        <v/>
      </c>
      <c r="F178" s="40" t="str">
        <f aca="false">IF($A178="","",INDEX('Master Task List'!$N:$N,$A178))</f>
        <v/>
      </c>
      <c r="G178" s="41"/>
    </row>
    <row r="179" customFormat="false" ht="15" hidden="false" customHeight="false" outlineLevel="0" collapsed="false">
      <c r="A179" s="0" t="str">
        <f aca="false">IFERROR(SMALL('Master Task List'!$T$2:$T$600,178),"")</f>
        <v/>
      </c>
      <c r="B179" s="0" t="str">
        <f aca="false">IF($A179="","",INDEX('Master Task List'!$D:$D,$A179))</f>
        <v/>
      </c>
      <c r="C179" s="0" t="str">
        <f aca="false">IF($A179="","",INDEX('Master Task List'!$B:$B,$A179))</f>
        <v/>
      </c>
      <c r="D179" s="0" t="str">
        <f aca="false">IF($A179="","",INDEX('Master Task List'!$G:$G,$A179))</f>
        <v/>
      </c>
      <c r="E179" s="38" t="str">
        <f aca="false">IF($A179="","",INDEX('Master Task List'!$M:$M,$A179))</f>
        <v/>
      </c>
      <c r="F179" s="40" t="str">
        <f aca="false">IF($A179="","",INDEX('Master Task List'!$N:$N,$A179))</f>
        <v/>
      </c>
      <c r="G179" s="41"/>
    </row>
    <row r="180" customFormat="false" ht="15" hidden="false" customHeight="false" outlineLevel="0" collapsed="false">
      <c r="A180" s="0" t="str">
        <f aca="false">IFERROR(SMALL('Master Task List'!$T$2:$T$600,179),"")</f>
        <v/>
      </c>
      <c r="B180" s="0" t="str">
        <f aca="false">IF($A180="","",INDEX('Master Task List'!$D:$D,$A180))</f>
        <v/>
      </c>
      <c r="C180" s="0" t="str">
        <f aca="false">IF($A180="","",INDEX('Master Task List'!$B:$B,$A180))</f>
        <v/>
      </c>
      <c r="D180" s="0" t="str">
        <f aca="false">IF($A180="","",INDEX('Master Task List'!$G:$G,$A180))</f>
        <v/>
      </c>
      <c r="E180" s="38" t="str">
        <f aca="false">IF($A180="","",INDEX('Master Task List'!$M:$M,$A180))</f>
        <v/>
      </c>
      <c r="F180" s="40" t="str">
        <f aca="false">IF($A180="","",INDEX('Master Task List'!$N:$N,$A180))</f>
        <v/>
      </c>
      <c r="G180" s="41"/>
    </row>
    <row r="181" customFormat="false" ht="15" hidden="false" customHeight="false" outlineLevel="0" collapsed="false">
      <c r="A181" s="0" t="str">
        <f aca="false">IFERROR(SMALL('Master Task List'!$T$2:$T$600,180),"")</f>
        <v/>
      </c>
      <c r="B181" s="0" t="str">
        <f aca="false">IF($A181="","",INDEX('Master Task List'!$D:$D,$A181))</f>
        <v/>
      </c>
      <c r="C181" s="0" t="str">
        <f aca="false">IF($A181="","",INDEX('Master Task List'!$B:$B,$A181))</f>
        <v/>
      </c>
      <c r="D181" s="0" t="str">
        <f aca="false">IF($A181="","",INDEX('Master Task List'!$G:$G,$A181))</f>
        <v/>
      </c>
      <c r="E181" s="38" t="str">
        <f aca="false">IF($A181="","",INDEX('Master Task List'!$M:$M,$A181))</f>
        <v/>
      </c>
      <c r="F181" s="40" t="str">
        <f aca="false">IF($A181="","",INDEX('Master Task List'!$N:$N,$A181))</f>
        <v/>
      </c>
      <c r="G181" s="41"/>
    </row>
    <row r="182" customFormat="false" ht="15" hidden="false" customHeight="false" outlineLevel="0" collapsed="false">
      <c r="A182" s="0" t="str">
        <f aca="false">IFERROR(SMALL('Master Task List'!$T$2:$T$600,181),"")</f>
        <v/>
      </c>
      <c r="B182" s="0" t="str">
        <f aca="false">IF($A182="","",INDEX('Master Task List'!$D:$D,$A182))</f>
        <v/>
      </c>
      <c r="C182" s="0" t="str">
        <f aca="false">IF($A182="","",INDEX('Master Task List'!$B:$B,$A182))</f>
        <v/>
      </c>
      <c r="D182" s="0" t="str">
        <f aca="false">IF($A182="","",INDEX('Master Task List'!$G:$G,$A182))</f>
        <v/>
      </c>
      <c r="E182" s="38" t="str">
        <f aca="false">IF($A182="","",INDEX('Master Task List'!$M:$M,$A182))</f>
        <v/>
      </c>
      <c r="F182" s="40" t="str">
        <f aca="false">IF($A182="","",INDEX('Master Task List'!$N:$N,$A182))</f>
        <v/>
      </c>
      <c r="G182" s="41"/>
    </row>
    <row r="183" customFormat="false" ht="15" hidden="false" customHeight="false" outlineLevel="0" collapsed="false">
      <c r="A183" s="0" t="str">
        <f aca="false">IFERROR(SMALL('Master Task List'!$T$2:$T$600,182),"")</f>
        <v/>
      </c>
      <c r="B183" s="0" t="str">
        <f aca="false">IF($A183="","",INDEX('Master Task List'!$D:$D,$A183))</f>
        <v/>
      </c>
      <c r="C183" s="0" t="str">
        <f aca="false">IF($A183="","",INDEX('Master Task List'!$B:$B,$A183))</f>
        <v/>
      </c>
      <c r="D183" s="0" t="str">
        <f aca="false">IF($A183="","",INDEX('Master Task List'!$G:$G,$A183))</f>
        <v/>
      </c>
      <c r="E183" s="38" t="str">
        <f aca="false">IF($A183="","",INDEX('Master Task List'!$M:$M,$A183))</f>
        <v/>
      </c>
      <c r="F183" s="40" t="str">
        <f aca="false">IF($A183="","",INDEX('Master Task List'!$N:$N,$A183))</f>
        <v/>
      </c>
      <c r="G183" s="41"/>
    </row>
    <row r="184" customFormat="false" ht="15" hidden="false" customHeight="false" outlineLevel="0" collapsed="false">
      <c r="A184" s="0" t="str">
        <f aca="false">IFERROR(SMALL('Master Task List'!$T$2:$T$600,183),"")</f>
        <v/>
      </c>
      <c r="B184" s="0" t="str">
        <f aca="false">IF($A184="","",INDEX('Master Task List'!$D:$D,$A184))</f>
        <v/>
      </c>
      <c r="C184" s="0" t="str">
        <f aca="false">IF($A184="","",INDEX('Master Task List'!$B:$B,$A184))</f>
        <v/>
      </c>
      <c r="D184" s="0" t="str">
        <f aca="false">IF($A184="","",INDEX('Master Task List'!$G:$G,$A184))</f>
        <v/>
      </c>
      <c r="E184" s="38" t="str">
        <f aca="false">IF($A184="","",INDEX('Master Task List'!$M:$M,$A184))</f>
        <v/>
      </c>
      <c r="F184" s="40" t="str">
        <f aca="false">IF($A184="","",INDEX('Master Task List'!$N:$N,$A184))</f>
        <v/>
      </c>
      <c r="G184" s="41"/>
    </row>
    <row r="185" customFormat="false" ht="15" hidden="false" customHeight="false" outlineLevel="0" collapsed="false">
      <c r="A185" s="0" t="str">
        <f aca="false">IFERROR(SMALL('Master Task List'!$T$2:$T$600,184),"")</f>
        <v/>
      </c>
      <c r="B185" s="0" t="str">
        <f aca="false">IF($A185="","",INDEX('Master Task List'!$D:$D,$A185))</f>
        <v/>
      </c>
      <c r="C185" s="0" t="str">
        <f aca="false">IF($A185="","",INDEX('Master Task List'!$B:$B,$A185))</f>
        <v/>
      </c>
      <c r="D185" s="0" t="str">
        <f aca="false">IF($A185="","",INDEX('Master Task List'!$G:$G,$A185))</f>
        <v/>
      </c>
      <c r="E185" s="38" t="str">
        <f aca="false">IF($A185="","",INDEX('Master Task List'!$M:$M,$A185))</f>
        <v/>
      </c>
      <c r="F185" s="40" t="str">
        <f aca="false">IF($A185="","",INDEX('Master Task List'!$N:$N,$A185))</f>
        <v/>
      </c>
      <c r="G185" s="41"/>
    </row>
    <row r="186" customFormat="false" ht="15" hidden="false" customHeight="false" outlineLevel="0" collapsed="false">
      <c r="A186" s="0" t="str">
        <f aca="false">IFERROR(SMALL('Master Task List'!$T$2:$T$600,185),"")</f>
        <v/>
      </c>
      <c r="B186" s="0" t="str">
        <f aca="false">IF($A186="","",INDEX('Master Task List'!$D:$D,$A186))</f>
        <v/>
      </c>
      <c r="C186" s="0" t="str">
        <f aca="false">IF($A186="","",INDEX('Master Task List'!$B:$B,$A186))</f>
        <v/>
      </c>
      <c r="D186" s="0" t="str">
        <f aca="false">IF($A186="","",INDEX('Master Task List'!$G:$G,$A186))</f>
        <v/>
      </c>
      <c r="E186" s="38" t="str">
        <f aca="false">IF($A186="","",INDEX('Master Task List'!$M:$M,$A186))</f>
        <v/>
      </c>
      <c r="F186" s="40" t="str">
        <f aca="false">IF($A186="","",INDEX('Master Task List'!$N:$N,$A186))</f>
        <v/>
      </c>
      <c r="G186" s="41"/>
    </row>
    <row r="187" customFormat="false" ht="15" hidden="false" customHeight="false" outlineLevel="0" collapsed="false">
      <c r="A187" s="0" t="str">
        <f aca="false">IFERROR(SMALL('Master Task List'!$T$2:$T$600,186),"")</f>
        <v/>
      </c>
      <c r="B187" s="0" t="str">
        <f aca="false">IF($A187="","",INDEX('Master Task List'!$D:$D,$A187))</f>
        <v/>
      </c>
      <c r="C187" s="0" t="str">
        <f aca="false">IF($A187="","",INDEX('Master Task List'!$B:$B,$A187))</f>
        <v/>
      </c>
      <c r="D187" s="0" t="str">
        <f aca="false">IF($A187="","",INDEX('Master Task List'!$G:$G,$A187))</f>
        <v/>
      </c>
      <c r="E187" s="38" t="str">
        <f aca="false">IF($A187="","",INDEX('Master Task List'!$M:$M,$A187))</f>
        <v/>
      </c>
      <c r="F187" s="40" t="str">
        <f aca="false">IF($A187="","",INDEX('Master Task List'!$N:$N,$A187))</f>
        <v/>
      </c>
      <c r="G187" s="41"/>
    </row>
    <row r="188" customFormat="false" ht="15" hidden="false" customHeight="false" outlineLevel="0" collapsed="false">
      <c r="A188" s="0" t="str">
        <f aca="false">IFERROR(SMALL('Master Task List'!$T$2:$T$600,187),"")</f>
        <v/>
      </c>
      <c r="B188" s="0" t="str">
        <f aca="false">IF($A188="","",INDEX('Master Task List'!$D:$D,$A188))</f>
        <v/>
      </c>
      <c r="C188" s="0" t="str">
        <f aca="false">IF($A188="","",INDEX('Master Task List'!$B:$B,$A188))</f>
        <v/>
      </c>
      <c r="D188" s="0" t="str">
        <f aca="false">IF($A188="","",INDEX('Master Task List'!$G:$G,$A188))</f>
        <v/>
      </c>
      <c r="E188" s="38" t="str">
        <f aca="false">IF($A188="","",INDEX('Master Task List'!$M:$M,$A188))</f>
        <v/>
      </c>
      <c r="F188" s="40" t="str">
        <f aca="false">IF($A188="","",INDEX('Master Task List'!$N:$N,$A188))</f>
        <v/>
      </c>
      <c r="G188" s="41"/>
    </row>
    <row r="189" customFormat="false" ht="15" hidden="false" customHeight="false" outlineLevel="0" collapsed="false">
      <c r="A189" s="0" t="str">
        <f aca="false">IFERROR(SMALL('Master Task List'!$T$2:$T$600,188),"")</f>
        <v/>
      </c>
      <c r="B189" s="0" t="str">
        <f aca="false">IF($A189="","",INDEX('Master Task List'!$D:$D,$A189))</f>
        <v/>
      </c>
      <c r="C189" s="0" t="str">
        <f aca="false">IF($A189="","",INDEX('Master Task List'!$B:$B,$A189))</f>
        <v/>
      </c>
      <c r="D189" s="0" t="str">
        <f aca="false">IF($A189="","",INDEX('Master Task List'!$G:$G,$A189))</f>
        <v/>
      </c>
      <c r="E189" s="38" t="str">
        <f aca="false">IF($A189="","",INDEX('Master Task List'!$M:$M,$A189))</f>
        <v/>
      </c>
      <c r="F189" s="40" t="str">
        <f aca="false">IF($A189="","",INDEX('Master Task List'!$N:$N,$A189))</f>
        <v/>
      </c>
      <c r="G189" s="41"/>
    </row>
    <row r="190" customFormat="false" ht="15" hidden="false" customHeight="false" outlineLevel="0" collapsed="false">
      <c r="A190" s="0" t="str">
        <f aca="false">IFERROR(SMALL('Master Task List'!$T$2:$T$600,189),"")</f>
        <v/>
      </c>
      <c r="B190" s="0" t="str">
        <f aca="false">IF($A190="","",INDEX('Master Task List'!$D:$D,$A190))</f>
        <v/>
      </c>
      <c r="C190" s="0" t="str">
        <f aca="false">IF($A190="","",INDEX('Master Task List'!$B:$B,$A190))</f>
        <v/>
      </c>
      <c r="D190" s="0" t="str">
        <f aca="false">IF($A190="","",INDEX('Master Task List'!$G:$G,$A190))</f>
        <v/>
      </c>
      <c r="E190" s="38" t="str">
        <f aca="false">IF($A190="","",INDEX('Master Task List'!$M:$M,$A190))</f>
        <v/>
      </c>
      <c r="F190" s="40" t="str">
        <f aca="false">IF($A190="","",INDEX('Master Task List'!$N:$N,$A190))</f>
        <v/>
      </c>
      <c r="G190" s="41"/>
    </row>
    <row r="191" customFormat="false" ht="15" hidden="false" customHeight="false" outlineLevel="0" collapsed="false">
      <c r="A191" s="0" t="str">
        <f aca="false">IFERROR(SMALL('Master Task List'!$T$2:$T$600,190),"")</f>
        <v/>
      </c>
      <c r="B191" s="0" t="str">
        <f aca="false">IF($A191="","",INDEX('Master Task List'!$D:$D,$A191))</f>
        <v/>
      </c>
      <c r="C191" s="0" t="str">
        <f aca="false">IF($A191="","",INDEX('Master Task List'!$B:$B,$A191))</f>
        <v/>
      </c>
      <c r="D191" s="0" t="str">
        <f aca="false">IF($A191="","",INDEX('Master Task List'!$G:$G,$A191))</f>
        <v/>
      </c>
      <c r="E191" s="38" t="str">
        <f aca="false">IF($A191="","",INDEX('Master Task List'!$M:$M,$A191))</f>
        <v/>
      </c>
      <c r="F191" s="40" t="str">
        <f aca="false">IF($A191="","",INDEX('Master Task List'!$N:$N,$A191))</f>
        <v/>
      </c>
      <c r="G191" s="41"/>
    </row>
    <row r="192" customFormat="false" ht="15" hidden="false" customHeight="false" outlineLevel="0" collapsed="false">
      <c r="A192" s="0" t="str">
        <f aca="false">IFERROR(SMALL('Master Task List'!$T$2:$T$600,191),"")</f>
        <v/>
      </c>
      <c r="B192" s="0" t="str">
        <f aca="false">IF($A192="","",INDEX('Master Task List'!$D:$D,$A192))</f>
        <v/>
      </c>
      <c r="C192" s="0" t="str">
        <f aca="false">IF($A192="","",INDEX('Master Task List'!$B:$B,$A192))</f>
        <v/>
      </c>
      <c r="D192" s="0" t="str">
        <f aca="false">IF($A192="","",INDEX('Master Task List'!$G:$G,$A192))</f>
        <v/>
      </c>
      <c r="E192" s="38" t="str">
        <f aca="false">IF($A192="","",INDEX('Master Task List'!$M:$M,$A192))</f>
        <v/>
      </c>
      <c r="F192" s="40" t="str">
        <f aca="false">IF($A192="","",INDEX('Master Task List'!$N:$N,$A192))</f>
        <v/>
      </c>
      <c r="G192" s="41"/>
    </row>
    <row r="193" customFormat="false" ht="15" hidden="false" customHeight="false" outlineLevel="0" collapsed="false">
      <c r="A193" s="0" t="str">
        <f aca="false">IFERROR(SMALL('Master Task List'!$T$2:$T$600,192),"")</f>
        <v/>
      </c>
      <c r="B193" s="0" t="str">
        <f aca="false">IF($A193="","",INDEX('Master Task List'!$D:$D,$A193))</f>
        <v/>
      </c>
      <c r="C193" s="0" t="str">
        <f aca="false">IF($A193="","",INDEX('Master Task List'!$B:$B,$A193))</f>
        <v/>
      </c>
      <c r="D193" s="0" t="str">
        <f aca="false">IF($A193="","",INDEX('Master Task List'!$G:$G,$A193))</f>
        <v/>
      </c>
      <c r="E193" s="38" t="str">
        <f aca="false">IF($A193="","",INDEX('Master Task List'!$M:$M,$A193))</f>
        <v/>
      </c>
      <c r="F193" s="40" t="str">
        <f aca="false">IF($A193="","",INDEX('Master Task List'!$N:$N,$A193))</f>
        <v/>
      </c>
      <c r="G193" s="41"/>
    </row>
    <row r="194" customFormat="false" ht="15" hidden="false" customHeight="false" outlineLevel="0" collapsed="false">
      <c r="A194" s="0" t="str">
        <f aca="false">IFERROR(SMALL('Master Task List'!$T$2:$T$600,193),"")</f>
        <v/>
      </c>
      <c r="B194" s="0" t="str">
        <f aca="false">IF($A194="","",INDEX('Master Task List'!$D:$D,$A194))</f>
        <v/>
      </c>
      <c r="C194" s="0" t="str">
        <f aca="false">IF($A194="","",INDEX('Master Task List'!$B:$B,$A194))</f>
        <v/>
      </c>
      <c r="D194" s="0" t="str">
        <f aca="false">IF($A194="","",INDEX('Master Task List'!$G:$G,$A194))</f>
        <v/>
      </c>
      <c r="E194" s="38" t="str">
        <f aca="false">IF($A194="","",INDEX('Master Task List'!$M:$M,$A194))</f>
        <v/>
      </c>
      <c r="F194" s="40" t="str">
        <f aca="false">IF($A194="","",INDEX('Master Task List'!$N:$N,$A194))</f>
        <v/>
      </c>
      <c r="G194" s="41"/>
    </row>
    <row r="195" customFormat="false" ht="15" hidden="false" customHeight="false" outlineLevel="0" collapsed="false">
      <c r="A195" s="0" t="str">
        <f aca="false">IFERROR(SMALL('Master Task List'!$T$2:$T$600,194),"")</f>
        <v/>
      </c>
      <c r="B195" s="0" t="str">
        <f aca="false">IF($A195="","",INDEX('Master Task List'!$D:$D,$A195))</f>
        <v/>
      </c>
      <c r="C195" s="0" t="str">
        <f aca="false">IF($A195="","",INDEX('Master Task List'!$B:$B,$A195))</f>
        <v/>
      </c>
      <c r="D195" s="0" t="str">
        <f aca="false">IF($A195="","",INDEX('Master Task List'!$G:$G,$A195))</f>
        <v/>
      </c>
      <c r="E195" s="38" t="str">
        <f aca="false">IF($A195="","",INDEX('Master Task List'!$M:$M,$A195))</f>
        <v/>
      </c>
      <c r="F195" s="40" t="str">
        <f aca="false">IF($A195="","",INDEX('Master Task List'!$N:$N,$A195))</f>
        <v/>
      </c>
      <c r="G195" s="41"/>
    </row>
    <row r="196" customFormat="false" ht="15" hidden="false" customHeight="false" outlineLevel="0" collapsed="false">
      <c r="A196" s="0" t="str">
        <f aca="false">IFERROR(SMALL('Master Task List'!$T$2:$T$600,195),"")</f>
        <v/>
      </c>
      <c r="B196" s="0" t="str">
        <f aca="false">IF($A196="","",INDEX('Master Task List'!$D:$D,$A196))</f>
        <v/>
      </c>
      <c r="C196" s="0" t="str">
        <f aca="false">IF($A196="","",INDEX('Master Task List'!$B:$B,$A196))</f>
        <v/>
      </c>
      <c r="D196" s="0" t="str">
        <f aca="false">IF($A196="","",INDEX('Master Task List'!$G:$G,$A196))</f>
        <v/>
      </c>
      <c r="E196" s="38" t="str">
        <f aca="false">IF($A196="","",INDEX('Master Task List'!$M:$M,$A196))</f>
        <v/>
      </c>
      <c r="F196" s="40" t="str">
        <f aca="false">IF($A196="","",INDEX('Master Task List'!$N:$N,$A196))</f>
        <v/>
      </c>
      <c r="G196" s="41"/>
    </row>
    <row r="197" customFormat="false" ht="15" hidden="false" customHeight="false" outlineLevel="0" collapsed="false">
      <c r="A197" s="0" t="str">
        <f aca="false">IFERROR(SMALL('Master Task List'!$T$2:$T$600,196),"")</f>
        <v/>
      </c>
      <c r="B197" s="0" t="str">
        <f aca="false">IF($A197="","",INDEX('Master Task List'!$D:$D,$A197))</f>
        <v/>
      </c>
      <c r="C197" s="0" t="str">
        <f aca="false">IF($A197="","",INDEX('Master Task List'!$B:$B,$A197))</f>
        <v/>
      </c>
      <c r="D197" s="0" t="str">
        <f aca="false">IF($A197="","",INDEX('Master Task List'!$G:$G,$A197))</f>
        <v/>
      </c>
      <c r="E197" s="38" t="str">
        <f aca="false">IF($A197="","",INDEX('Master Task List'!$M:$M,$A197))</f>
        <v/>
      </c>
      <c r="F197" s="40" t="str">
        <f aca="false">IF($A197="","",INDEX('Master Task List'!$N:$N,$A197))</f>
        <v/>
      </c>
      <c r="G197" s="41"/>
    </row>
    <row r="198" customFormat="false" ht="15" hidden="false" customHeight="false" outlineLevel="0" collapsed="false">
      <c r="A198" s="0" t="str">
        <f aca="false">IFERROR(SMALL('Master Task List'!$T$2:$T$600,197),"")</f>
        <v/>
      </c>
      <c r="B198" s="0" t="str">
        <f aca="false">IF($A198="","",INDEX('Master Task List'!$D:$D,$A198))</f>
        <v/>
      </c>
      <c r="C198" s="0" t="str">
        <f aca="false">IF($A198="","",INDEX('Master Task List'!$B:$B,$A198))</f>
        <v/>
      </c>
      <c r="D198" s="0" t="str">
        <f aca="false">IF($A198="","",INDEX('Master Task List'!$G:$G,$A198))</f>
        <v/>
      </c>
      <c r="E198" s="38" t="str">
        <f aca="false">IF($A198="","",INDEX('Master Task List'!$M:$M,$A198))</f>
        <v/>
      </c>
      <c r="F198" s="40" t="str">
        <f aca="false">IF($A198="","",INDEX('Master Task List'!$N:$N,$A198))</f>
        <v/>
      </c>
      <c r="G198" s="41"/>
    </row>
    <row r="199" customFormat="false" ht="15" hidden="false" customHeight="false" outlineLevel="0" collapsed="false">
      <c r="A199" s="0" t="str">
        <f aca="false">IFERROR(SMALL('Master Task List'!$T$2:$T$600,198),"")</f>
        <v/>
      </c>
      <c r="B199" s="0" t="str">
        <f aca="false">IF($A199="","",INDEX('Master Task List'!$D:$D,$A199))</f>
        <v/>
      </c>
      <c r="C199" s="0" t="str">
        <f aca="false">IF($A199="","",INDEX('Master Task List'!$B:$B,$A199))</f>
        <v/>
      </c>
      <c r="D199" s="0" t="str">
        <f aca="false">IF($A199="","",INDEX('Master Task List'!$G:$G,$A199))</f>
        <v/>
      </c>
      <c r="E199" s="38" t="str">
        <f aca="false">IF($A199="","",INDEX('Master Task List'!$M:$M,$A199))</f>
        <v/>
      </c>
      <c r="F199" s="40" t="str">
        <f aca="false">IF($A199="","",INDEX('Master Task List'!$N:$N,$A199))</f>
        <v/>
      </c>
      <c r="G199" s="41"/>
    </row>
    <row r="200" customFormat="false" ht="15" hidden="false" customHeight="false" outlineLevel="0" collapsed="false">
      <c r="A200" s="0" t="str">
        <f aca="false">IFERROR(SMALL('Master Task List'!$T$2:$T$600,199),"")</f>
        <v/>
      </c>
      <c r="B200" s="0" t="str">
        <f aca="false">IF($A200="","",INDEX('Master Task List'!$D:$D,$A200))</f>
        <v/>
      </c>
      <c r="C200" s="0" t="str">
        <f aca="false">IF($A200="","",INDEX('Master Task List'!$B:$B,$A200))</f>
        <v/>
      </c>
      <c r="D200" s="0" t="str">
        <f aca="false">IF($A200="","",INDEX('Master Task List'!$G:$G,$A200))</f>
        <v/>
      </c>
      <c r="E200" s="38" t="str">
        <f aca="false">IF($A200="","",INDEX('Master Task List'!$M:$M,$A200))</f>
        <v/>
      </c>
      <c r="F200" s="40" t="str">
        <f aca="false">IF($A200="","",INDEX('Master Task List'!$N:$N,$A200))</f>
        <v/>
      </c>
      <c r="G200" s="41"/>
    </row>
    <row r="201" customFormat="false" ht="15" hidden="false" customHeight="false" outlineLevel="0" collapsed="false">
      <c r="A201" s="0" t="str">
        <f aca="false">IFERROR(SMALL('Master Task List'!$T$2:$T$600,200),"")</f>
        <v/>
      </c>
      <c r="B201" s="0" t="str">
        <f aca="false">IF($A201="","",INDEX('Master Task List'!$D:$D,$A201))</f>
        <v/>
      </c>
      <c r="C201" s="0" t="str">
        <f aca="false">IF($A201="","",INDEX('Master Task List'!$B:$B,$A201))</f>
        <v/>
      </c>
      <c r="D201" s="0" t="str">
        <f aca="false">IF($A201="","",INDEX('Master Task List'!$G:$G,$A201))</f>
        <v/>
      </c>
      <c r="E201" s="38" t="str">
        <f aca="false">IF($A201="","",INDEX('Master Task List'!$M:$M,$A201))</f>
        <v/>
      </c>
      <c r="F201" s="40" t="str">
        <f aca="false">IF($A201="","",INDEX('Master Task List'!$N:$N,$A201))</f>
        <v/>
      </c>
      <c r="G201" s="41"/>
    </row>
  </sheetData>
  <conditionalFormatting sqref="B2:B201">
    <cfRule type="expression" priority="2" aboveAverage="0" equalAverage="0" bottom="0" percent="0" rank="0" text="" dxfId="24">
      <formula>$A2=""</formula>
    </cfRule>
  </conditionalFormatting>
  <conditionalFormatting sqref="C2:C201">
    <cfRule type="expression" priority="3" aboveAverage="0" equalAverage="0" bottom="0" percent="0" rank="0" text="" dxfId="24">
      <formula>$A2=""</formula>
    </cfRule>
  </conditionalFormatting>
  <conditionalFormatting sqref="D2:D201">
    <cfRule type="expression" priority="4" aboveAverage="0" equalAverage="0" bottom="0" percent="0" rank="0" text="" dxfId="24">
      <formula>$A2=""</formula>
    </cfRule>
  </conditionalFormatting>
  <conditionalFormatting sqref="E2:E201">
    <cfRule type="expression" priority="5" aboveAverage="0" equalAverage="0" bottom="0" percent="0" rank="0" text="" dxfId="24">
      <formula>$A2=""</formula>
    </cfRule>
  </conditionalFormatting>
  <conditionalFormatting sqref="F2:F201">
    <cfRule type="expression" priority="6" aboveAverage="0" equalAverage="0" bottom="0" percent="0" rank="0" text="" dxfId="24">
      <formula>$A2=""</formula>
    </cfRule>
  </conditionalFormatting>
  <conditionalFormatting sqref="G2:G201">
    <cfRule type="expression" priority="7" aboveAverage="0" equalAverage="0" bottom="0" percent="0" rank="0" text="" dxfId="24">
      <formula>$A2=""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6"/>
    <col collapsed="false" customWidth="true" hidden="false" outlineLevel="0" max="9" min="2" style="0" width="22"/>
  </cols>
  <sheetData>
    <row r="1" customFormat="false" ht="21.75" hidden="false" customHeight="true" outlineLevel="0" collapsed="false">
      <c r="A1" s="36" t="s">
        <v>457</v>
      </c>
      <c r="B1" s="36" t="s">
        <v>63</v>
      </c>
      <c r="C1" s="36" t="s">
        <v>61</v>
      </c>
      <c r="D1" s="36" t="s">
        <v>65</v>
      </c>
      <c r="E1" s="36" t="s">
        <v>66</v>
      </c>
      <c r="F1" s="36" t="s">
        <v>68</v>
      </c>
      <c r="G1" s="36" t="s">
        <v>462</v>
      </c>
      <c r="H1" s="36" t="s">
        <v>463</v>
      </c>
      <c r="I1" s="36" t="s">
        <v>75</v>
      </c>
    </row>
    <row r="2" customFormat="false" ht="15" hidden="false" customHeight="false" outlineLevel="0" collapsed="false">
      <c r="A2" s="0" t="n">
        <f aca="false">IFERROR(SMALL('Master Task List'!$U$2:$U$600,1),"")</f>
        <v>31</v>
      </c>
      <c r="B2" s="0" t="str">
        <f aca="false">IF($A2="","",INDEX('Master Task List'!$D:$D,$A2))</f>
        <v>دمج بيانات المتاجر والموردين</v>
      </c>
      <c r="C2" s="0" t="str">
        <f aca="false">IF($A2="","",INDEX('Master Task List'!$B:$B,$A2))</f>
        <v>Guarantee Registration</v>
      </c>
      <c r="D2" s="0" t="str">
        <f aca="false">IF($A2="","",INDEX('Master Task List'!$F:$F,$A2))</f>
        <v>High</v>
      </c>
      <c r="E2" s="39" t="str">
        <f aca="false">IF($A2="","",INDEX('Master Task List'!$G:$G,$A2))</f>
        <v>لمياء العنزي</v>
      </c>
      <c r="F2" s="0" t="str">
        <f aca="false">IF($A2="","",INDEX('Master Task List'!$I:$I,$A2))</f>
        <v>Planning</v>
      </c>
      <c r="G2" s="40" t="n">
        <f aca="false">IF($A2="","",INDEX('Master Task List'!$N:$N,$A2))</f>
        <v>30</v>
      </c>
      <c r="H2" s="38" t="n">
        <f aca="false">IF($A2="","",INDEX('Master Task List'!$L:$L,$A2))</f>
        <v>46284</v>
      </c>
      <c r="I2" s="0" t="str">
        <f aca="false">IF($A2="","",INDEX('Master Task List'!$P:$P,$A2))</f>
        <v>DMT-029</v>
      </c>
    </row>
    <row r="3" customFormat="false" ht="15" hidden="false" customHeight="false" outlineLevel="0" collapsed="false">
      <c r="A3" s="0" t="n">
        <f aca="false">IFERROR(SMALL('Master Task List'!$U$2:$U$600,2),"")</f>
        <v>32</v>
      </c>
      <c r="B3" s="0" t="str">
        <f aca="false">IF($A3="","",INDEX('Master Task List'!$D:$D,$A3))</f>
        <v>بناء خدمة التحقق الفوري</v>
      </c>
      <c r="C3" s="0" t="str">
        <f aca="false">IF($A3="","",INDEX('Master Task List'!$B:$B,$A3))</f>
        <v>Guarantee Verification</v>
      </c>
      <c r="D3" s="0" t="str">
        <f aca="false">IF($A3="","",INDEX('Master Task List'!$F:$F,$A3))</f>
        <v>Critical</v>
      </c>
      <c r="E3" s="39" t="str">
        <f aca="false">IF($A3="","",INDEX('Master Task List'!$G:$G,$A3))</f>
        <v>خالد الغامدي</v>
      </c>
      <c r="F3" s="0" t="str">
        <f aca="false">IF($A3="","",INDEX('Master Task List'!$I:$I,$A3))</f>
        <v>Planning</v>
      </c>
      <c r="G3" s="40" t="n">
        <f aca="false">IF($A3="","",INDEX('Master Task List'!$N:$N,$A3))</f>
        <v>30</v>
      </c>
      <c r="H3" s="38" t="n">
        <f aca="false">IF($A3="","",INDEX('Master Task List'!$L:$L,$A3))</f>
        <v>46254</v>
      </c>
      <c r="I3" s="0" t="str">
        <f aca="false">IF($A3="","",INDEX('Master Task List'!$P:$P,$A3))</f>
        <v>DMT-028</v>
      </c>
    </row>
    <row r="4" customFormat="false" ht="15" hidden="false" customHeight="false" outlineLevel="0" collapsed="false">
      <c r="A4" s="0" t="n">
        <f aca="false">IFERROR(SMALL('Master Task List'!$U$2:$U$600,3),"")</f>
        <v>33</v>
      </c>
      <c r="B4" s="0" t="str">
        <f aca="false">IF($A4="","",INDEX('Master Task List'!$D:$D,$A4))</f>
        <v>دمج التحقق مع أنظمة الموردين</v>
      </c>
      <c r="C4" s="0" t="str">
        <f aca="false">IF($A4="","",INDEX('Master Task List'!$B:$B,$A4))</f>
        <v>Guarantee Verification</v>
      </c>
      <c r="D4" s="0" t="str">
        <f aca="false">IF($A4="","",INDEX('Master Task List'!$F:$F,$A4))</f>
        <v>High</v>
      </c>
      <c r="E4" s="39" t="str">
        <f aca="false">IF($A4="","",INDEX('Master Task List'!$G:$G,$A4))</f>
        <v>خالد الغامدي</v>
      </c>
      <c r="F4" s="0" t="str">
        <f aca="false">IF($A4="","",INDEX('Master Task List'!$I:$I,$A4))</f>
        <v>Blocked</v>
      </c>
      <c r="G4" s="40" t="n">
        <f aca="false">IF($A4="","",INDEX('Master Task List'!$N:$N,$A4))</f>
        <v>31</v>
      </c>
      <c r="H4" s="38" t="n">
        <f aca="false">IF($A4="","",INDEX('Master Task List'!$L:$L,$A4))</f>
        <v>46285</v>
      </c>
      <c r="I4" s="0" t="str">
        <f aca="false">IF($A4="","",INDEX('Master Task List'!$P:$P,$A4))</f>
        <v>DMT-031</v>
      </c>
    </row>
    <row r="5" customFormat="false" ht="15" hidden="false" customHeight="false" outlineLevel="0" collapsed="false">
      <c r="A5" s="0" t="n">
        <f aca="false">IFERROR(SMALL('Master Task List'!$U$2:$U$600,4),"")</f>
        <v>34</v>
      </c>
      <c r="B5" s="0" t="str">
        <f aca="false">IF($A5="","",INDEX('Master Task List'!$D:$D,$A5))</f>
        <v>بناء سجل تدقيق التحقق</v>
      </c>
      <c r="C5" s="0" t="str">
        <f aca="false">IF($A5="","",INDEX('Master Task List'!$B:$B,$A5))</f>
        <v>Guarantee Verification</v>
      </c>
      <c r="D5" s="0" t="str">
        <f aca="false">IF($A5="","",INDEX('Master Task List'!$F:$F,$A5))</f>
        <v>High</v>
      </c>
      <c r="E5" s="39" t="str">
        <f aca="false">IF($A5="","",INDEX('Master Task List'!$G:$G,$A5))</f>
        <v>خالد الغامدي</v>
      </c>
      <c r="F5" s="0" t="str">
        <f aca="false">IF($A5="","",INDEX('Master Task List'!$I:$I,$A5))</f>
        <v>Not Started</v>
      </c>
      <c r="G5" s="40" t="n">
        <f aca="false">IF($A5="","",INDEX('Master Task List'!$N:$N,$A5))</f>
        <v>30</v>
      </c>
      <c r="H5" s="38" t="n">
        <f aca="false">IF($A5="","",INDEX('Master Task List'!$L:$L,$A5))</f>
        <v>46315</v>
      </c>
      <c r="I5" s="0" t="str">
        <f aca="false">IF($A5="","",INDEX('Master Task List'!$P:$P,$A5))</f>
        <v>DMT-032</v>
      </c>
    </row>
    <row r="6" customFormat="false" ht="15" hidden="false" customHeight="false" outlineLevel="0" collapsed="false">
      <c r="A6" s="0" t="n">
        <f aca="false">IFERROR(SMALL('Master Task List'!$U$2:$U$600,5),"")</f>
        <v>35</v>
      </c>
      <c r="B6" s="0" t="str">
        <f aca="false">IF($A6="","",INDEX('Master Task List'!$D:$D,$A6))</f>
        <v>توليد رمز QR لكل ضمان</v>
      </c>
      <c r="C6" s="0" t="str">
        <f aca="false">IF($A6="","",INDEX('Master Task List'!$B:$B,$A6))</f>
        <v>QR Code System</v>
      </c>
      <c r="D6" s="0" t="str">
        <f aca="false">IF($A6="","",INDEX('Master Task List'!$F:$F,$A6))</f>
        <v>Medium</v>
      </c>
      <c r="E6" s="39" t="str">
        <f aca="false">IF($A6="","",INDEX('Master Task List'!$G:$G,$A6))</f>
        <v>فيصل المطيري</v>
      </c>
      <c r="F6" s="0" t="str">
        <f aca="false">IF($A6="","",INDEX('Master Task List'!$I:$I,$A6))</f>
        <v>Not Started</v>
      </c>
      <c r="G6" s="40" t="n">
        <f aca="false">IF($A6="","",INDEX('Master Task List'!$N:$N,$A6))</f>
        <v>20</v>
      </c>
      <c r="H6" s="38" t="n">
        <f aca="false">IF($A6="","",INDEX('Master Task List'!$L:$L,$A6))</f>
        <v>46259</v>
      </c>
      <c r="I6" s="0" t="str">
        <f aca="false">IF($A6="","",INDEX('Master Task List'!$P:$P,$A6))</f>
        <v>DMT-028</v>
      </c>
    </row>
    <row r="7" customFormat="false" ht="15" hidden="false" customHeight="false" outlineLevel="0" collapsed="false">
      <c r="A7" s="0" t="n">
        <f aca="false">IFERROR(SMALL('Master Task List'!$U$2:$U$600,6),"")</f>
        <v>36</v>
      </c>
      <c r="B7" s="0" t="str">
        <f aca="false">IF($A7="","",INDEX('Master Task List'!$D:$D,$A7))</f>
        <v>تطوير ماسح QR داخل التطبيق</v>
      </c>
      <c r="C7" s="0" t="str">
        <f aca="false">IF($A7="","",INDEX('Master Task List'!$B:$B,$A7))</f>
        <v>QR Code System</v>
      </c>
      <c r="D7" s="0" t="str">
        <f aca="false">IF($A7="","",INDEX('Master Task List'!$F:$F,$A7))</f>
        <v>Medium</v>
      </c>
      <c r="E7" s="39" t="str">
        <f aca="false">IF($A7="","",INDEX('Master Task List'!$G:$G,$A7))</f>
        <v>فيصل المطيري</v>
      </c>
      <c r="F7" s="0" t="str">
        <f aca="false">IF($A7="","",INDEX('Master Task List'!$I:$I,$A7))</f>
        <v>Not Started</v>
      </c>
      <c r="G7" s="40" t="n">
        <f aca="false">IF($A7="","",INDEX('Master Task List'!$N:$N,$A7))</f>
        <v>21</v>
      </c>
      <c r="H7" s="38" t="n">
        <f aca="false">IF($A7="","",INDEX('Master Task List'!$L:$L,$A7))</f>
        <v>46280</v>
      </c>
      <c r="I7" s="0" t="str">
        <f aca="false">IF($A7="","",INDEX('Master Task List'!$P:$P,$A7))</f>
        <v>DMT-034</v>
      </c>
    </row>
    <row r="8" customFormat="false" ht="15" hidden="false" customHeight="false" outlineLevel="0" collapsed="false">
      <c r="A8" s="0" t="n">
        <f aca="false">IFERROR(SMALL('Master Task List'!$U$2:$U$600,7),"")</f>
        <v>37</v>
      </c>
      <c r="B8" s="0" t="str">
        <f aca="false">IF($A8="","",INDEX('Master Task List'!$D:$D,$A8))</f>
        <v>طباعة وتوزيع ملصقات QR</v>
      </c>
      <c r="C8" s="0" t="str">
        <f aca="false">IF($A8="","",INDEX('Master Task List'!$B:$B,$A8))</f>
        <v>QR Code System</v>
      </c>
      <c r="D8" s="0" t="str">
        <f aca="false">IF($A8="","",INDEX('Master Task List'!$F:$F,$A8))</f>
        <v>Medium</v>
      </c>
      <c r="E8" s="39" t="str">
        <f aca="false">IF($A8="","",INDEX('Master Task List'!$G:$G,$A8))</f>
        <v>فيصل المطيري</v>
      </c>
      <c r="F8" s="0" t="str">
        <f aca="false">IF($A8="","",INDEX('Master Task List'!$I:$I,$A8))</f>
        <v>Not Started</v>
      </c>
      <c r="G8" s="40" t="n">
        <f aca="false">IF($A8="","",INDEX('Master Task List'!$N:$N,$A8))</f>
        <v>20</v>
      </c>
      <c r="H8" s="38" t="n">
        <f aca="false">IF($A8="","",INDEX('Master Task List'!$L:$L,$A8))</f>
        <v>46300</v>
      </c>
      <c r="I8" s="0" t="str">
        <f aca="false">IF($A8="","",INDEX('Master Task List'!$P:$P,$A8))</f>
        <v>DMT-035</v>
      </c>
    </row>
    <row r="9" customFormat="false" ht="15" hidden="false" customHeight="false" outlineLevel="0" collapsed="false">
      <c r="A9" s="0" t="n">
        <f aca="false">IFERROR(SMALL('Master Task List'!$U$2:$U$600,8),"")</f>
        <v>38</v>
      </c>
      <c r="B9" s="0" t="str">
        <f aca="false">IF($A9="","",INDEX('Master Task List'!$D:$D,$A9))</f>
        <v>بناء محرك الإشعارات الفورية</v>
      </c>
      <c r="C9" s="0" t="str">
        <f aca="false">IF($A9="","",INDEX('Master Task List'!$B:$B,$A9))</f>
        <v>Notifications</v>
      </c>
      <c r="D9" s="0" t="str">
        <f aca="false">IF($A9="","",INDEX('Master Task List'!$F:$F,$A9))</f>
        <v>Low</v>
      </c>
      <c r="E9" s="39" t="str">
        <f aca="false">IF($A9="","",INDEX('Master Task List'!$G:$G,$A9))</f>
        <v>لمياء العنزي</v>
      </c>
      <c r="F9" s="0" t="str">
        <f aca="false">IF($A9="","",INDEX('Master Task List'!$I:$I,$A9))</f>
        <v>Not Started</v>
      </c>
      <c r="G9" s="40" t="n">
        <f aca="false">IF($A9="","",INDEX('Master Task List'!$N:$N,$A9))</f>
        <v>20</v>
      </c>
      <c r="H9" s="38" t="n">
        <f aca="false">IF($A9="","",INDEX('Master Task List'!$L:$L,$A9))</f>
        <v>46274</v>
      </c>
      <c r="I9" s="0" t="str">
        <f aca="false">IF($A9="","",INDEX('Master Task List'!$P:$P,$A9))</f>
        <v>DMT-022</v>
      </c>
    </row>
    <row r="10" customFormat="false" ht="15" hidden="false" customHeight="false" outlineLevel="0" collapsed="false">
      <c r="A10" s="0" t="n">
        <f aca="false">IFERROR(SMALL('Master Task List'!$U$2:$U$600,9),"")</f>
        <v>39</v>
      </c>
      <c r="B10" s="0" t="str">
        <f aca="false">IF($A10="","",INDEX('Master Task List'!$D:$D,$A10))</f>
        <v>إشعارات انتهاء صلاحية الضمان</v>
      </c>
      <c r="C10" s="0" t="str">
        <f aca="false">IF($A10="","",INDEX('Master Task List'!$B:$B,$A10))</f>
        <v>Notifications</v>
      </c>
      <c r="D10" s="0" t="str">
        <f aca="false">IF($A10="","",INDEX('Master Task List'!$F:$F,$A10))</f>
        <v>Medium</v>
      </c>
      <c r="E10" s="39" t="str">
        <f aca="false">IF($A10="","",INDEX('Master Task List'!$G:$G,$A10))</f>
        <v>لمياء العنزي</v>
      </c>
      <c r="F10" s="0" t="str">
        <f aca="false">IF($A10="","",INDEX('Master Task List'!$I:$I,$A10))</f>
        <v>Not Started</v>
      </c>
      <c r="G10" s="40" t="n">
        <f aca="false">IF($A10="","",INDEX('Master Task List'!$N:$N,$A10))</f>
        <v>21</v>
      </c>
      <c r="H10" s="38" t="n">
        <f aca="false">IF($A10="","",INDEX('Master Task List'!$L:$L,$A10))</f>
        <v>46295</v>
      </c>
      <c r="I10" s="0" t="str">
        <f aca="false">IF($A10="","",INDEX('Master Task List'!$P:$P,$A10))</f>
        <v>DMT-037</v>
      </c>
    </row>
    <row r="11" customFormat="false" ht="15" hidden="false" customHeight="false" outlineLevel="0" collapsed="false">
      <c r="A11" s="0" t="n">
        <f aca="false">IFERROR(SMALL('Master Task List'!$U$2:$U$600,10),"")</f>
        <v>40</v>
      </c>
      <c r="B11" s="0" t="str">
        <f aca="false">IF($A11="","",INDEX('Master Task List'!$D:$D,$A11))</f>
        <v>إشعارات البريد الإلكتروني والرسائل</v>
      </c>
      <c r="C11" s="0" t="str">
        <f aca="false">IF($A11="","",INDEX('Master Task List'!$B:$B,$A11))</f>
        <v>Notifications</v>
      </c>
      <c r="D11" s="0" t="str">
        <f aca="false">IF($A11="","",INDEX('Master Task List'!$F:$F,$A11))</f>
        <v>Medium</v>
      </c>
      <c r="E11" s="39" t="str">
        <f aca="false">IF($A11="","",INDEX('Master Task List'!$G:$G,$A11))</f>
        <v>لمياء العنزي</v>
      </c>
      <c r="F11" s="0" t="str">
        <f aca="false">IF($A11="","",INDEX('Master Task List'!$I:$I,$A11))</f>
        <v>Not Started</v>
      </c>
      <c r="G11" s="40" t="n">
        <f aca="false">IF($A11="","",INDEX('Master Task List'!$N:$N,$A11))</f>
        <v>20</v>
      </c>
      <c r="H11" s="38" t="n">
        <f aca="false">IF($A11="","",INDEX('Master Task List'!$L:$L,$A11))</f>
        <v>46315</v>
      </c>
      <c r="I11" s="0" t="str">
        <f aca="false">IF($A11="","",INDEX('Master Task List'!$P:$P,$A11))</f>
        <v>DMT-038</v>
      </c>
    </row>
    <row r="12" customFormat="false" ht="15" hidden="false" customHeight="false" outlineLevel="0" collapsed="false">
      <c r="A12" s="0" t="n">
        <f aca="false">IFERROR(SMALL('Master Task List'!$U$2:$U$600,11),"")</f>
        <v>41</v>
      </c>
      <c r="B12" s="0" t="str">
        <f aca="false">IF($A12="","",INDEX('Master Task List'!$D:$D,$A12))</f>
        <v>بناء محرك بحث الضمانات</v>
      </c>
      <c r="C12" s="0" t="str">
        <f aca="false">IF($A12="","",INDEX('Master Task List'!$B:$B,$A12))</f>
        <v>Search</v>
      </c>
      <c r="D12" s="0" t="str">
        <f aca="false">IF($A12="","",INDEX('Master Task List'!$F:$F,$A12))</f>
        <v>Medium</v>
      </c>
      <c r="E12" s="39" t="str">
        <f aca="false">IF($A12="","",INDEX('Master Task List'!$G:$G,$A12))</f>
        <v>ريم الحربي</v>
      </c>
      <c r="F12" s="0" t="str">
        <f aca="false">IF($A12="","",INDEX('Master Task List'!$I:$I,$A12))</f>
        <v>Not Started</v>
      </c>
      <c r="G12" s="40" t="n">
        <f aca="false">IF($A12="","",INDEX('Master Task List'!$N:$N,$A12))</f>
        <v>20</v>
      </c>
      <c r="H12" s="38" t="n">
        <f aca="false">IF($A12="","",INDEX('Master Task List'!$L:$L,$A12))</f>
        <v>46289</v>
      </c>
      <c r="I12" s="0" t="str">
        <f aca="false">IF($A12="","",INDEX('Master Task List'!$P:$P,$A12))</f>
        <v>DMT-025</v>
      </c>
    </row>
    <row r="13" customFormat="false" ht="15" hidden="false" customHeight="false" outlineLevel="0" collapsed="false">
      <c r="A13" s="0" t="n">
        <f aca="false">IFERROR(SMALL('Master Task List'!$U$2:$U$600,12),"")</f>
        <v>42</v>
      </c>
      <c r="B13" s="0" t="str">
        <f aca="false">IF($A13="","",INDEX('Master Task List'!$D:$D,$A13))</f>
        <v>إضافة الفلاتر المتقدمة</v>
      </c>
      <c r="C13" s="0" t="str">
        <f aca="false">IF($A13="","",INDEX('Master Task List'!$B:$B,$A13))</f>
        <v>Search</v>
      </c>
      <c r="D13" s="0" t="str">
        <f aca="false">IF($A13="","",INDEX('Master Task List'!$F:$F,$A13))</f>
        <v>Medium</v>
      </c>
      <c r="E13" s="39" t="str">
        <f aca="false">IF($A13="","",INDEX('Master Task List'!$G:$G,$A13))</f>
        <v>ريم الحربي</v>
      </c>
      <c r="F13" s="0" t="str">
        <f aca="false">IF($A13="","",INDEX('Master Task List'!$I:$I,$A13))</f>
        <v>Not Started</v>
      </c>
      <c r="G13" s="40" t="n">
        <f aca="false">IF($A13="","",INDEX('Master Task List'!$N:$N,$A13))</f>
        <v>21</v>
      </c>
      <c r="H13" s="38" t="n">
        <f aca="false">IF($A13="","",INDEX('Master Task List'!$L:$L,$A13))</f>
        <v>46310</v>
      </c>
      <c r="I13" s="0" t="str">
        <f aca="false">IF($A13="","",INDEX('Master Task List'!$P:$P,$A13))</f>
        <v>DMT-040</v>
      </c>
    </row>
    <row r="14" customFormat="false" ht="15" hidden="false" customHeight="false" outlineLevel="0" collapsed="false">
      <c r="A14" s="0" t="n">
        <f aca="false">IFERROR(SMALL('Master Task List'!$U$2:$U$600,13),"")</f>
        <v>43</v>
      </c>
      <c r="B14" s="0" t="str">
        <f aca="false">IF($A14="","",INDEX('Master Task List'!$D:$D,$A14))</f>
        <v>تحسين أداء الفهرسة</v>
      </c>
      <c r="C14" s="0" t="str">
        <f aca="false">IF($A14="","",INDEX('Master Task List'!$B:$B,$A14))</f>
        <v>Search</v>
      </c>
      <c r="D14" s="0" t="str">
        <f aca="false">IF($A14="","",INDEX('Master Task List'!$F:$F,$A14))</f>
        <v>Medium</v>
      </c>
      <c r="E14" s="39" t="str">
        <f aca="false">IF($A14="","",INDEX('Master Task List'!$G:$G,$A14))</f>
        <v>ريم الحربي</v>
      </c>
      <c r="F14" s="0" t="str">
        <f aca="false">IF($A14="","",INDEX('Master Task List'!$I:$I,$A14))</f>
        <v>Not Started</v>
      </c>
      <c r="G14" s="40" t="n">
        <f aca="false">IF($A14="","",INDEX('Master Task List'!$N:$N,$A14))</f>
        <v>20</v>
      </c>
      <c r="H14" s="38" t="n">
        <f aca="false">IF($A14="","",INDEX('Master Task List'!$L:$L,$A14))</f>
        <v>46330</v>
      </c>
      <c r="I14" s="0" t="str">
        <f aca="false">IF($A14="","",INDEX('Master Task List'!$P:$P,$A14))</f>
        <v>DMT-041</v>
      </c>
    </row>
    <row r="15" customFormat="false" ht="15" hidden="false" customHeight="false" outlineLevel="0" collapsed="false">
      <c r="A15" s="0" t="n">
        <f aca="false">IFERROR(SMALL('Master Task List'!$U$2:$U$600,14),"")</f>
        <v>44</v>
      </c>
      <c r="B15" s="0" t="str">
        <f aca="false">IF($A15="","",INDEX('Master Task List'!$D:$D,$A15))</f>
        <v>بناء تقارير الضمانات الأساسية</v>
      </c>
      <c r="C15" s="0" t="str">
        <f aca="false">IF($A15="","",INDEX('Master Task List'!$B:$B,$A15))</f>
        <v>Reports</v>
      </c>
      <c r="D15" s="0" t="str">
        <f aca="false">IF($A15="","",INDEX('Master Task List'!$F:$F,$A15))</f>
        <v>Medium</v>
      </c>
      <c r="E15" s="39" t="str">
        <f aca="false">IF($A15="","",INDEX('Master Task List'!$G:$G,$A15))</f>
        <v>منيرة القرني</v>
      </c>
      <c r="F15" s="0" t="str">
        <f aca="false">IF($A15="","",INDEX('Master Task List'!$I:$I,$A15))</f>
        <v>Not Started</v>
      </c>
      <c r="G15" s="40" t="n">
        <f aca="false">IF($A15="","",INDEX('Master Task List'!$N:$N,$A15))</f>
        <v>25</v>
      </c>
      <c r="H15" s="38" t="n">
        <f aca="false">IF($A15="","",INDEX('Master Task List'!$L:$L,$A15))</f>
        <v>46309</v>
      </c>
      <c r="I15" s="0" t="str">
        <f aca="false">IF($A15="","",INDEX('Master Task List'!$P:$P,$A15))</f>
        <v>DMT-031</v>
      </c>
    </row>
    <row r="16" customFormat="false" ht="15" hidden="false" customHeight="false" outlineLevel="0" collapsed="false">
      <c r="A16" s="0" t="n">
        <f aca="false">IFERROR(SMALL('Master Task List'!$U$2:$U$600,15),"")</f>
        <v>45</v>
      </c>
      <c r="B16" s="0" t="str">
        <f aca="false">IF($A16="","",INDEX('Master Task List'!$D:$D,$A16))</f>
        <v>تقارير الأداء الإداري</v>
      </c>
      <c r="C16" s="0" t="str">
        <f aca="false">IF($A16="","",INDEX('Master Task List'!$B:$B,$A16))</f>
        <v>Reports</v>
      </c>
      <c r="D16" s="0" t="str">
        <f aca="false">IF($A16="","",INDEX('Master Task List'!$F:$F,$A16))</f>
        <v>Medium</v>
      </c>
      <c r="E16" s="39" t="str">
        <f aca="false">IF($A16="","",INDEX('Master Task List'!$G:$G,$A16))</f>
        <v>منيرة القرني</v>
      </c>
      <c r="F16" s="0" t="str">
        <f aca="false">IF($A16="","",INDEX('Master Task List'!$I:$I,$A16))</f>
        <v>Not Started</v>
      </c>
      <c r="G16" s="40" t="n">
        <f aca="false">IF($A16="","",INDEX('Master Task List'!$N:$N,$A16))</f>
        <v>26</v>
      </c>
      <c r="H16" s="38" t="n">
        <f aca="false">IF($A16="","",INDEX('Master Task List'!$L:$L,$A16))</f>
        <v>46335</v>
      </c>
      <c r="I16" s="0" t="str">
        <f aca="false">IF($A16="","",INDEX('Master Task List'!$P:$P,$A16))</f>
        <v>DMT-043</v>
      </c>
    </row>
    <row r="17" customFormat="false" ht="15" hidden="false" customHeight="false" outlineLevel="0" collapsed="false">
      <c r="A17" s="0" t="n">
        <f aca="false">IFERROR(SMALL('Master Task List'!$U$2:$U$600,16),"")</f>
        <v>46</v>
      </c>
      <c r="B17" s="0" t="str">
        <f aca="false">IF($A17="","",INDEX('Master Task List'!$D:$D,$A17))</f>
        <v>جدولة التقارير الدورية</v>
      </c>
      <c r="C17" s="0" t="str">
        <f aca="false">IF($A17="","",INDEX('Master Task List'!$B:$B,$A17))</f>
        <v>Reports</v>
      </c>
      <c r="D17" s="0" t="str">
        <f aca="false">IF($A17="","",INDEX('Master Task List'!$F:$F,$A17))</f>
        <v>Medium</v>
      </c>
      <c r="E17" s="39" t="str">
        <f aca="false">IF($A17="","",INDEX('Master Task List'!$G:$G,$A17))</f>
        <v>منيرة القرني</v>
      </c>
      <c r="F17" s="0" t="str">
        <f aca="false">IF($A17="","",INDEX('Master Task List'!$I:$I,$A17))</f>
        <v>Not Started</v>
      </c>
      <c r="G17" s="40" t="n">
        <f aca="false">IF($A17="","",INDEX('Master Task List'!$N:$N,$A17))</f>
        <v>25</v>
      </c>
      <c r="H17" s="38" t="n">
        <f aca="false">IF($A17="","",INDEX('Master Task List'!$L:$L,$A17))</f>
        <v>46360</v>
      </c>
      <c r="I17" s="0" t="str">
        <f aca="false">IF($A17="","",INDEX('Master Task List'!$P:$P,$A17))</f>
        <v>DMT-044</v>
      </c>
    </row>
    <row r="18" customFormat="false" ht="15" hidden="false" customHeight="false" outlineLevel="0" collapsed="false">
      <c r="A18" s="0" t="n">
        <f aca="false">IFERROR(SMALL('Master Task List'!$U$2:$U$600,17),"")</f>
        <v>47</v>
      </c>
      <c r="B18" s="0" t="str">
        <f aca="false">IF($A18="","",INDEX('Master Task List'!$D:$D,$A18))</f>
        <v>بناء لوحة التحليلات التفاعلية</v>
      </c>
      <c r="C18" s="0" t="str">
        <f aca="false">IF($A18="","",INDEX('Master Task List'!$B:$B,$A18))</f>
        <v>Analytics</v>
      </c>
      <c r="D18" s="0" t="str">
        <f aca="false">IF($A18="","",INDEX('Master Task List'!$F:$F,$A18))</f>
        <v>Medium</v>
      </c>
      <c r="E18" s="39" t="str">
        <f aca="false">IF($A18="","",INDEX('Master Task List'!$G:$G,$A18))</f>
        <v>منيرة القرني</v>
      </c>
      <c r="F18" s="0" t="str">
        <f aca="false">IF($A18="","",INDEX('Master Task List'!$I:$I,$A18))</f>
        <v>Not Started</v>
      </c>
      <c r="G18" s="40" t="n">
        <f aca="false">IF($A18="","",INDEX('Master Task List'!$N:$N,$A18))</f>
        <v>25</v>
      </c>
      <c r="H18" s="38" t="n">
        <f aca="false">IF($A18="","",INDEX('Master Task List'!$L:$L,$A18))</f>
        <v>46325</v>
      </c>
      <c r="I18" s="0" t="str">
        <f aca="false">IF($A18="","",INDEX('Master Task List'!$P:$P,$A18))</f>
        <v>DMT-043</v>
      </c>
    </row>
    <row r="19" customFormat="false" ht="15" hidden="false" customHeight="false" outlineLevel="0" collapsed="false">
      <c r="A19" s="0" t="n">
        <f aca="false">IFERROR(SMALL('Master Task List'!$U$2:$U$600,18),"")</f>
        <v>48</v>
      </c>
      <c r="B19" s="0" t="str">
        <f aca="false">IF($A19="","",INDEX('Master Task List'!$D:$D,$A19))</f>
        <v>تحليل سلوك المستخدمين</v>
      </c>
      <c r="C19" s="0" t="str">
        <f aca="false">IF($A19="","",INDEX('Master Task List'!$B:$B,$A19))</f>
        <v>Analytics</v>
      </c>
      <c r="D19" s="0" t="str">
        <f aca="false">IF($A19="","",INDEX('Master Task List'!$F:$F,$A19))</f>
        <v>Medium</v>
      </c>
      <c r="E19" s="39" t="str">
        <f aca="false">IF($A19="","",INDEX('Master Task List'!$G:$G,$A19))</f>
        <v>منيرة القرني</v>
      </c>
      <c r="F19" s="0" t="str">
        <f aca="false">IF($A19="","",INDEX('Master Task List'!$I:$I,$A19))</f>
        <v>Not Started</v>
      </c>
      <c r="G19" s="40" t="n">
        <f aca="false">IF($A19="","",INDEX('Master Task List'!$N:$N,$A19))</f>
        <v>26</v>
      </c>
      <c r="H19" s="38" t="n">
        <f aca="false">IF($A19="","",INDEX('Master Task List'!$L:$L,$A19))</f>
        <v>46351</v>
      </c>
      <c r="I19" s="0" t="str">
        <f aca="false">IF($A19="","",INDEX('Master Task List'!$P:$P,$A19))</f>
        <v>DMT-046</v>
      </c>
    </row>
    <row r="20" customFormat="false" ht="15" hidden="false" customHeight="false" outlineLevel="0" collapsed="false">
      <c r="A20" s="0" t="n">
        <f aca="false">IFERROR(SMALL('Master Task List'!$U$2:$U$600,19),"")</f>
        <v>49</v>
      </c>
      <c r="B20" s="0" t="str">
        <f aca="false">IF($A20="","",INDEX('Master Task List'!$D:$D,$A20))</f>
        <v>مؤشرات الأداء الرئيسية (KPIs)</v>
      </c>
      <c r="C20" s="0" t="str">
        <f aca="false">IF($A20="","",INDEX('Master Task List'!$B:$B,$A20))</f>
        <v>Analytics</v>
      </c>
      <c r="D20" s="0" t="str">
        <f aca="false">IF($A20="","",INDEX('Master Task List'!$F:$F,$A20))</f>
        <v>Medium</v>
      </c>
      <c r="E20" s="39" t="str">
        <f aca="false">IF($A20="","",INDEX('Master Task List'!$G:$G,$A20))</f>
        <v>منيرة القرني</v>
      </c>
      <c r="F20" s="0" t="str">
        <f aca="false">IF($A20="","",INDEX('Master Task List'!$I:$I,$A20))</f>
        <v>Not Started</v>
      </c>
      <c r="G20" s="40" t="n">
        <f aca="false">IF($A20="","",INDEX('Master Task List'!$N:$N,$A20))</f>
        <v>25</v>
      </c>
      <c r="H20" s="38" t="n">
        <f aca="false">IF($A20="","",INDEX('Master Task List'!$L:$L,$A20))</f>
        <v>46376</v>
      </c>
      <c r="I20" s="0" t="str">
        <f aca="false">IF($A20="","",INDEX('Master Task List'!$P:$P,$A20))</f>
        <v>DMT-047</v>
      </c>
    </row>
    <row r="21" customFormat="false" ht="15" hidden="false" customHeight="false" outlineLevel="0" collapsed="false">
      <c r="A21" s="0" t="n">
        <f aca="false">IFERROR(SMALL('Master Task List'!$U$2:$U$600,20),"")</f>
        <v>50</v>
      </c>
      <c r="B21" s="0" t="str">
        <f aca="false">IF($A21="","",INDEX('Master Task List'!$D:$D,$A21))</f>
        <v>نموذج التعرف على الفواتير (OCR)</v>
      </c>
      <c r="C21" s="0" t="str">
        <f aca="false">IF($A21="","",INDEX('Master Task List'!$B:$B,$A21))</f>
        <v>AI Features</v>
      </c>
      <c r="D21" s="0" t="str">
        <f aca="false">IF($A21="","",INDEX('Master Task List'!$F:$F,$A21))</f>
        <v>High</v>
      </c>
      <c r="E21" s="39" t="str">
        <f aca="false">IF($A21="","",INDEX('Master Task List'!$G:$G,$A21))</f>
        <v>منيرة القرني</v>
      </c>
      <c r="F21" s="0" t="str">
        <f aca="false">IF($A21="","",INDEX('Master Task List'!$I:$I,$A21))</f>
        <v>Blocked</v>
      </c>
      <c r="G21" s="40" t="n">
        <f aca="false">IF($A21="","",INDEX('Master Task List'!$N:$N,$A21))</f>
        <v>30</v>
      </c>
      <c r="H21" s="38" t="n">
        <f aca="false">IF($A21="","",INDEX('Master Task List'!$L:$L,$A21))</f>
        <v>46345</v>
      </c>
      <c r="I21" s="0" t="str">
        <f aca="false">IF($A21="","",INDEX('Master Task List'!$P:$P,$A21))</f>
        <v>DMT-046</v>
      </c>
    </row>
    <row r="22" customFormat="false" ht="15" hidden="false" customHeight="false" outlineLevel="0" collapsed="false">
      <c r="A22" s="0" t="n">
        <f aca="false">IFERROR(SMALL('Master Task List'!$U$2:$U$600,21),"")</f>
        <v>51</v>
      </c>
      <c r="B22" s="0" t="str">
        <f aca="false">IF($A22="","",INDEX('Master Task List'!$D:$D,$A22))</f>
        <v>كشف الضمانات المزيفة</v>
      </c>
      <c r="C22" s="0" t="str">
        <f aca="false">IF($A22="","",INDEX('Master Task List'!$B:$B,$A22))</f>
        <v>AI Features</v>
      </c>
      <c r="D22" s="0" t="str">
        <f aca="false">IF($A22="","",INDEX('Master Task List'!$F:$F,$A22))</f>
        <v>High</v>
      </c>
      <c r="E22" s="39" t="str">
        <f aca="false">IF($A22="","",INDEX('Master Task List'!$G:$G,$A22))</f>
        <v>منيرة القرني</v>
      </c>
      <c r="F22" s="0" t="str">
        <f aca="false">IF($A22="","",INDEX('Master Task List'!$I:$I,$A22))</f>
        <v>Not Started</v>
      </c>
      <c r="G22" s="40" t="n">
        <f aca="false">IF($A22="","",INDEX('Master Task List'!$N:$N,$A22))</f>
        <v>31</v>
      </c>
      <c r="H22" s="38" t="n">
        <f aca="false">IF($A22="","",INDEX('Master Task List'!$L:$L,$A22))</f>
        <v>46376</v>
      </c>
      <c r="I22" s="0" t="str">
        <f aca="false">IF($A22="","",INDEX('Master Task List'!$P:$P,$A22))</f>
        <v>DMT-049</v>
      </c>
    </row>
    <row r="23" customFormat="false" ht="15" hidden="false" customHeight="false" outlineLevel="0" collapsed="false">
      <c r="A23" s="0" t="n">
        <f aca="false">IFERROR(SMALL('Master Task List'!$U$2:$U$600,22),"")</f>
        <v>52</v>
      </c>
      <c r="B23" s="0" t="str">
        <f aca="false">IF($A23="","",INDEX('Master Task List'!$D:$D,$A23))</f>
        <v>مساعد ذكي للدعم الفني</v>
      </c>
      <c r="C23" s="0" t="str">
        <f aca="false">IF($A23="","",INDEX('Master Task List'!$B:$B,$A23))</f>
        <v>AI Features</v>
      </c>
      <c r="D23" s="0" t="str">
        <f aca="false">IF($A23="","",INDEX('Master Task List'!$F:$F,$A23))</f>
        <v>High</v>
      </c>
      <c r="E23" s="39" t="str">
        <f aca="false">IF($A23="","",INDEX('Master Task List'!$G:$G,$A23))</f>
        <v>منيرة القرني</v>
      </c>
      <c r="F23" s="0" t="str">
        <f aca="false">IF($A23="","",INDEX('Master Task List'!$I:$I,$A23))</f>
        <v>Not Started</v>
      </c>
      <c r="G23" s="40" t="n">
        <f aca="false">IF($A23="","",INDEX('Master Task List'!$N:$N,$A23))</f>
        <v>30</v>
      </c>
      <c r="H23" s="38" t="n">
        <f aca="false">IF($A23="","",INDEX('Master Task List'!$L:$L,$A23))</f>
        <v>46406</v>
      </c>
      <c r="I23" s="0" t="str">
        <f aca="false">IF($A23="","",INDEX('Master Task List'!$P:$P,$A23))</f>
        <v>DMT-050</v>
      </c>
    </row>
    <row r="24" customFormat="false" ht="15" hidden="false" customHeight="false" outlineLevel="0" collapsed="false">
      <c r="A24" s="0" t="n">
        <f aca="false">IFERROR(SMALL('Master Task List'!$U$2:$U$600,23),"")</f>
        <v>53</v>
      </c>
      <c r="B24" s="0" t="str">
        <f aca="false">IF($A24="","",INDEX('Master Task List'!$D:$D,$A24))</f>
        <v>بناء لوحة تحكم المشرفين</v>
      </c>
      <c r="C24" s="0" t="str">
        <f aca="false">IF($A24="","",INDEX('Master Task List'!$B:$B,$A24))</f>
        <v>Admin Dashboard</v>
      </c>
      <c r="D24" s="0" t="str">
        <f aca="false">IF($A24="","",INDEX('Master Task List'!$F:$F,$A24))</f>
        <v>Medium</v>
      </c>
      <c r="E24" s="39" t="str">
        <f aca="false">IF($A24="","",INDEX('Master Task List'!$G:$G,$A24))</f>
        <v>ريم الحربي</v>
      </c>
      <c r="F24" s="0" t="str">
        <f aca="false">IF($A24="","",INDEX('Master Task List'!$I:$I,$A24))</f>
        <v>Not Started</v>
      </c>
      <c r="G24" s="40" t="n">
        <f aca="false">IF($A24="","",INDEX('Master Task List'!$N:$N,$A24))</f>
        <v>25</v>
      </c>
      <c r="H24" s="38" t="n">
        <f aca="false">IF($A24="","",INDEX('Master Task List'!$L:$L,$A24))</f>
        <v>46309</v>
      </c>
      <c r="I24" s="0" t="str">
        <f aca="false">IF($A24="","",INDEX('Master Task List'!$P:$P,$A24))</f>
        <v>DMT-016</v>
      </c>
    </row>
    <row r="25" customFormat="false" ht="15" hidden="false" customHeight="false" outlineLevel="0" collapsed="false">
      <c r="A25" s="0" t="n">
        <f aca="false">IFERROR(SMALL('Master Task List'!$U$2:$U$600,24),"")</f>
        <v>54</v>
      </c>
      <c r="B25" s="0" t="str">
        <f aca="false">IF($A25="","",INDEX('Master Task List'!$D:$D,$A25))</f>
        <v>إدارة المستخدمين والصلاحيات</v>
      </c>
      <c r="C25" s="0" t="str">
        <f aca="false">IF($A25="","",INDEX('Master Task List'!$B:$B,$A25))</f>
        <v>Admin Dashboard</v>
      </c>
      <c r="D25" s="0" t="str">
        <f aca="false">IF($A25="","",INDEX('Master Task List'!$F:$F,$A25))</f>
        <v>Medium</v>
      </c>
      <c r="E25" s="39" t="str">
        <f aca="false">IF($A25="","",INDEX('Master Task List'!$G:$G,$A25))</f>
        <v>ريم الحربي</v>
      </c>
      <c r="F25" s="0" t="str">
        <f aca="false">IF($A25="","",INDEX('Master Task List'!$I:$I,$A25))</f>
        <v>Not Started</v>
      </c>
      <c r="G25" s="40" t="n">
        <f aca="false">IF($A25="","",INDEX('Master Task List'!$N:$N,$A25))</f>
        <v>26</v>
      </c>
      <c r="H25" s="38" t="n">
        <f aca="false">IF($A25="","",INDEX('Master Task List'!$L:$L,$A25))</f>
        <v>46335</v>
      </c>
      <c r="I25" s="0" t="str">
        <f aca="false">IF($A25="","",INDEX('Master Task List'!$P:$P,$A25))</f>
        <v>DMT-052</v>
      </c>
    </row>
    <row r="26" customFormat="false" ht="15" hidden="false" customHeight="false" outlineLevel="0" collapsed="false">
      <c r="A26" s="0" t="n">
        <f aca="false">IFERROR(SMALL('Master Task List'!$U$2:$U$600,25),"")</f>
        <v>55</v>
      </c>
      <c r="B26" s="0" t="str">
        <f aca="false">IF($A26="","",INDEX('Master Task List'!$D:$D,$A26))</f>
        <v>سجل النشاطات والتدقيق</v>
      </c>
      <c r="C26" s="0" t="str">
        <f aca="false">IF($A26="","",INDEX('Master Task List'!$B:$B,$A26))</f>
        <v>Admin Dashboard</v>
      </c>
      <c r="D26" s="0" t="str">
        <f aca="false">IF($A26="","",INDEX('Master Task List'!$F:$F,$A26))</f>
        <v>Medium</v>
      </c>
      <c r="E26" s="39" t="str">
        <f aca="false">IF($A26="","",INDEX('Master Task List'!$G:$G,$A26))</f>
        <v>ريم الحربي</v>
      </c>
      <c r="F26" s="0" t="str">
        <f aca="false">IF($A26="","",INDEX('Master Task List'!$I:$I,$A26))</f>
        <v>Not Started</v>
      </c>
      <c r="G26" s="40" t="n">
        <f aca="false">IF($A26="","",INDEX('Master Task List'!$N:$N,$A26))</f>
        <v>25</v>
      </c>
      <c r="H26" s="38" t="n">
        <f aca="false">IF($A26="","",INDEX('Master Task List'!$L:$L,$A26))</f>
        <v>46360</v>
      </c>
      <c r="I26" s="0" t="str">
        <f aca="false">IF($A26="","",INDEX('Master Task List'!$P:$P,$A26))</f>
        <v>DMT-053</v>
      </c>
    </row>
    <row r="27" customFormat="false" ht="15" hidden="false" customHeight="false" outlineLevel="0" collapsed="false">
      <c r="A27" s="0" t="n">
        <f aca="false">IFERROR(SMALL('Master Task List'!$U$2:$U$600,26),"")</f>
        <v>58</v>
      </c>
      <c r="B27" s="0" t="str">
        <f aca="false">IF($A27="","",INDEX('Master Task List'!$D:$D,$A27))</f>
        <v>توثيق الواجهات البرمجية</v>
      </c>
      <c r="C27" s="0" t="str">
        <f aca="false">IF($A27="","",INDEX('Master Task List'!$B:$B,$A27))</f>
        <v>API Development</v>
      </c>
      <c r="D27" s="0" t="str">
        <f aca="false">IF($A27="","",INDEX('Master Task List'!$F:$F,$A27))</f>
        <v>High</v>
      </c>
      <c r="E27" s="39" t="str">
        <f aca="false">IF($A27="","",INDEX('Master Task List'!$G:$G,$A27))</f>
        <v>خالد الغامدي</v>
      </c>
      <c r="F27" s="0" t="str">
        <f aca="false">IF($A27="","",INDEX('Master Task List'!$I:$I,$A27))</f>
        <v>Planning</v>
      </c>
      <c r="G27" s="40" t="n">
        <f aca="false">IF($A27="","",INDEX('Master Task List'!$N:$N,$A27))</f>
        <v>71</v>
      </c>
      <c r="H27" s="38" t="n">
        <f aca="false">IF($A27="","",INDEX('Master Task List'!$L:$L,$A27))</f>
        <v>46345</v>
      </c>
      <c r="I27" s="0" t="str">
        <f aca="false">IF($A27="","",INDEX('Master Task List'!$P:$P,$A27))</f>
        <v>DMT-056</v>
      </c>
    </row>
    <row r="28" customFormat="false" ht="15" hidden="false" customHeight="false" outlineLevel="0" collapsed="false">
      <c r="A28" s="0" t="n">
        <f aca="false">IFERROR(SMALL('Master Task List'!$U$2:$U$600,27),"")</f>
        <v>67</v>
      </c>
      <c r="B28" s="0" t="str">
        <f aca="false">IF($A28="","",INDEX('Master Task List'!$D:$D,$A28))</f>
        <v>اختبار الاختراق</v>
      </c>
      <c r="C28" s="0" t="str">
        <f aca="false">IF($A28="","",INDEX('Master Task List'!$B:$B,$A28))</f>
        <v>Security</v>
      </c>
      <c r="D28" s="0" t="str">
        <f aca="false">IF($A28="","",INDEX('Master Task List'!$F:$F,$A28))</f>
        <v>High</v>
      </c>
      <c r="E28" s="39" t="str">
        <f aca="false">IF($A28="","",INDEX('Master Task List'!$G:$G,$A28))</f>
        <v>عمر باقادر</v>
      </c>
      <c r="F28" s="0" t="str">
        <f aca="false">IF($A28="","",INDEX('Master Task List'!$I:$I,$A28))</f>
        <v>Not Started</v>
      </c>
      <c r="G28" s="40" t="n">
        <f aca="false">IF($A28="","",INDEX('Master Task List'!$N:$N,$A28))</f>
        <v>51</v>
      </c>
      <c r="H28" s="38" t="n">
        <f aca="false">IF($A28="","",INDEX('Master Task List'!$L:$L,$A28))</f>
        <v>46330</v>
      </c>
      <c r="I28" s="0" t="str">
        <f aca="false">IF($A28="","",INDEX('Master Task List'!$P:$P,$A28))</f>
        <v>DMT-065</v>
      </c>
    </row>
    <row r="29" customFormat="false" ht="15" hidden="false" customHeight="false" outlineLevel="0" collapsed="false">
      <c r="A29" s="0" t="n">
        <f aca="false">IFERROR(SMALL('Master Task List'!$U$2:$U$600,28),"")</f>
        <v>68</v>
      </c>
      <c r="B29" s="0" t="str">
        <f aca="false">IF($A29="","",INDEX('Master Task List'!$D:$D,$A29))</f>
        <v>إعداد خطة الاختبار الشاملة</v>
      </c>
      <c r="C29" s="0" t="str">
        <f aca="false">IF($A29="","",INDEX('Master Task List'!$B:$B,$A29))</f>
        <v>Testing</v>
      </c>
      <c r="D29" s="0" t="str">
        <f aca="false">IF($A29="","",INDEX('Master Task List'!$F:$F,$A29))</f>
        <v>High</v>
      </c>
      <c r="E29" s="39" t="str">
        <f aca="false">IF($A29="","",INDEX('Master Task List'!$G:$G,$A29))</f>
        <v>هند الزهراني</v>
      </c>
      <c r="F29" s="0" t="str">
        <f aca="false">IF($A29="","",INDEX('Master Task List'!$I:$I,$A29))</f>
        <v>Not Started</v>
      </c>
      <c r="G29" s="40" t="n">
        <f aca="false">IF($A29="","",INDEX('Master Task List'!$N:$N,$A29))</f>
        <v>25</v>
      </c>
      <c r="H29" s="38" t="n">
        <f aca="false">IF($A29="","",INDEX('Master Task List'!$L:$L,$A29))</f>
        <v>46355</v>
      </c>
      <c r="I29" s="0" t="str">
        <f aca="false">IF($A29="","",INDEX('Master Task List'!$P:$P,$A29))</f>
        <v>DMT-031</v>
      </c>
    </row>
    <row r="30" customFormat="false" ht="15" hidden="false" customHeight="false" outlineLevel="0" collapsed="false">
      <c r="A30" s="0" t="n">
        <f aca="false">IFERROR(SMALL('Master Task List'!$U$2:$U$600,29),"")</f>
        <v>69</v>
      </c>
      <c r="B30" s="0" t="str">
        <f aca="false">IF($A30="","",INDEX('Master Task List'!$D:$D,$A30))</f>
        <v>تنفيذ اختبارات الوحدة والتكامل</v>
      </c>
      <c r="C30" s="0" t="str">
        <f aca="false">IF($A30="","",INDEX('Master Task List'!$B:$B,$A30))</f>
        <v>Testing</v>
      </c>
      <c r="D30" s="0" t="str">
        <f aca="false">IF($A30="","",INDEX('Master Task List'!$F:$F,$A30))</f>
        <v>High</v>
      </c>
      <c r="E30" s="39" t="str">
        <f aca="false">IF($A30="","",INDEX('Master Task List'!$G:$G,$A30))</f>
        <v>هند الزهراني</v>
      </c>
      <c r="F30" s="0" t="str">
        <f aca="false">IF($A30="","",INDEX('Master Task List'!$I:$I,$A30))</f>
        <v>Not Started</v>
      </c>
      <c r="G30" s="40" t="n">
        <f aca="false">IF($A30="","",INDEX('Master Task List'!$N:$N,$A30))</f>
        <v>26</v>
      </c>
      <c r="H30" s="38" t="n">
        <f aca="false">IF($A30="","",INDEX('Master Task List'!$L:$L,$A30))</f>
        <v>46381</v>
      </c>
      <c r="I30" s="0" t="str">
        <f aca="false">IF($A30="","",INDEX('Master Task List'!$P:$P,$A30))</f>
        <v>DMT-067</v>
      </c>
    </row>
    <row r="31" customFormat="false" ht="15" hidden="false" customHeight="false" outlineLevel="0" collapsed="false">
      <c r="A31" s="0" t="n">
        <f aca="false">IFERROR(SMALL('Master Task List'!$U$2:$U$600,30),"")</f>
        <v>70</v>
      </c>
      <c r="B31" s="0" t="str">
        <f aca="false">IF($A31="","",INDEX('Master Task List'!$D:$D,$A31))</f>
        <v>اختبار قبول المستخدم (UAT)</v>
      </c>
      <c r="C31" s="0" t="str">
        <f aca="false">IF($A31="","",INDEX('Master Task List'!$B:$B,$A31))</f>
        <v>Testing</v>
      </c>
      <c r="D31" s="0" t="str">
        <f aca="false">IF($A31="","",INDEX('Master Task List'!$F:$F,$A31))</f>
        <v>High</v>
      </c>
      <c r="E31" s="39" t="str">
        <f aca="false">IF($A31="","",INDEX('Master Task List'!$G:$G,$A31))</f>
        <v>هند الزهراني</v>
      </c>
      <c r="F31" s="0" t="str">
        <f aca="false">IF($A31="","",INDEX('Master Task List'!$I:$I,$A31))</f>
        <v>Not Started</v>
      </c>
      <c r="G31" s="40" t="n">
        <f aca="false">IF($A31="","",INDEX('Master Task List'!$N:$N,$A31))</f>
        <v>25</v>
      </c>
      <c r="H31" s="38" t="n">
        <f aca="false">IF($A31="","",INDEX('Master Task List'!$L:$L,$A31))</f>
        <v>46406</v>
      </c>
      <c r="I31" s="0" t="str">
        <f aca="false">IF($A31="","",INDEX('Master Task List'!$P:$P,$A31))</f>
        <v>DMT-068</v>
      </c>
    </row>
    <row r="32" customFormat="false" ht="15" hidden="false" customHeight="false" outlineLevel="0" collapsed="false">
      <c r="A32" s="0" t="n">
        <f aca="false">IFERROR(SMALL('Master Task List'!$U$2:$U$600,31),"")</f>
        <v>71</v>
      </c>
      <c r="B32" s="0" t="str">
        <f aca="false">IF($A32="","",INDEX('Master Task List'!$D:$D,$A32))</f>
        <v>اختبار تحمل الأحمال (Load Testing)</v>
      </c>
      <c r="C32" s="0" t="str">
        <f aca="false">IF($A32="","",INDEX('Master Task List'!$B:$B,$A32))</f>
        <v>Performance</v>
      </c>
      <c r="D32" s="0" t="str">
        <f aca="false">IF($A32="","",INDEX('Master Task List'!$F:$F,$A32))</f>
        <v>Medium</v>
      </c>
      <c r="E32" s="39" t="str">
        <f aca="false">IF($A32="","",INDEX('Master Task List'!$G:$G,$A32))</f>
        <v>هند الزهراني</v>
      </c>
      <c r="F32" s="0" t="str">
        <f aca="false">IF($A32="","",INDEX('Master Task List'!$I:$I,$A32))</f>
        <v>Not Started</v>
      </c>
      <c r="G32" s="40" t="n">
        <f aca="false">IF($A32="","",INDEX('Master Task List'!$N:$N,$A32))</f>
        <v>20</v>
      </c>
      <c r="H32" s="38" t="n">
        <f aca="false">IF($A32="","",INDEX('Master Task List'!$L:$L,$A32))</f>
        <v>46365</v>
      </c>
      <c r="I32" s="0" t="str">
        <f aca="false">IF($A32="","",INDEX('Master Task List'!$P:$P,$A32))</f>
        <v>DMT-067</v>
      </c>
    </row>
    <row r="33" customFormat="false" ht="15" hidden="false" customHeight="false" outlineLevel="0" collapsed="false">
      <c r="A33" s="0" t="n">
        <f aca="false">IFERROR(SMALL('Master Task List'!$U$2:$U$600,32),"")</f>
        <v>72</v>
      </c>
      <c r="B33" s="0" t="str">
        <f aca="false">IF($A33="","",INDEX('Master Task List'!$D:$D,$A33))</f>
        <v>تحسين سرعة الاستجابة</v>
      </c>
      <c r="C33" s="0" t="str">
        <f aca="false">IF($A33="","",INDEX('Master Task List'!$B:$B,$A33))</f>
        <v>Performance</v>
      </c>
      <c r="D33" s="0" t="str">
        <f aca="false">IF($A33="","",INDEX('Master Task List'!$F:$F,$A33))</f>
        <v>Medium</v>
      </c>
      <c r="E33" s="39" t="str">
        <f aca="false">IF($A33="","",INDEX('Master Task List'!$G:$G,$A33))</f>
        <v>هند الزهراني</v>
      </c>
      <c r="F33" s="0" t="str">
        <f aca="false">IF($A33="","",INDEX('Master Task List'!$I:$I,$A33))</f>
        <v>Not Started</v>
      </c>
      <c r="G33" s="40" t="n">
        <f aca="false">IF($A33="","",INDEX('Master Task List'!$N:$N,$A33))</f>
        <v>21</v>
      </c>
      <c r="H33" s="38" t="n">
        <f aca="false">IF($A33="","",INDEX('Master Task List'!$L:$L,$A33))</f>
        <v>46386</v>
      </c>
      <c r="I33" s="0" t="str">
        <f aca="false">IF($A33="","",INDEX('Master Task List'!$P:$P,$A33))</f>
        <v>DMT-070</v>
      </c>
    </row>
    <row r="34" customFormat="false" ht="15" hidden="false" customHeight="false" outlineLevel="0" collapsed="false">
      <c r="A34" s="0" t="n">
        <f aca="false">IFERROR(SMALL('Master Task List'!$U$2:$U$600,33),"")</f>
        <v>73</v>
      </c>
      <c r="B34" s="0" t="str">
        <f aca="false">IF($A34="","",INDEX('Master Task List'!$D:$D,$A34))</f>
        <v>تحسين استهلاك الموارد السحابية</v>
      </c>
      <c r="C34" s="0" t="str">
        <f aca="false">IF($A34="","",INDEX('Master Task List'!$B:$B,$A34))</f>
        <v>Performance</v>
      </c>
      <c r="D34" s="0" t="str">
        <f aca="false">IF($A34="","",INDEX('Master Task List'!$F:$F,$A34))</f>
        <v>Medium</v>
      </c>
      <c r="E34" s="39" t="str">
        <f aca="false">IF($A34="","",INDEX('Master Task List'!$G:$G,$A34))</f>
        <v>هند الزهراني</v>
      </c>
      <c r="F34" s="0" t="str">
        <f aca="false">IF($A34="","",INDEX('Master Task List'!$I:$I,$A34))</f>
        <v>Not Started</v>
      </c>
      <c r="G34" s="40" t="n">
        <f aca="false">IF($A34="","",INDEX('Master Task List'!$N:$N,$A34))</f>
        <v>20</v>
      </c>
      <c r="H34" s="38" t="n">
        <f aca="false">IF($A34="","",INDEX('Master Task List'!$L:$L,$A34))</f>
        <v>46406</v>
      </c>
      <c r="I34" s="0" t="str">
        <f aca="false">IF($A34="","",INDEX('Master Task List'!$P:$P,$A34))</f>
        <v>DMT-071</v>
      </c>
    </row>
    <row r="35" customFormat="false" ht="15" hidden="false" customHeight="false" outlineLevel="0" collapsed="false">
      <c r="A35" s="0" t="n">
        <f aca="false">IFERROR(SMALL('Master Task List'!$U$2:$U$600,34),"")</f>
        <v>74</v>
      </c>
      <c r="B35" s="0" t="str">
        <f aca="false">IF($A35="","",INDEX('Master Task List'!$D:$D,$A35))</f>
        <v>إعداد بيئة الإنتاج النهائية</v>
      </c>
      <c r="C35" s="0" t="str">
        <f aca="false">IF($A35="","",INDEX('Master Task List'!$B:$B,$A35))</f>
        <v>Deployment</v>
      </c>
      <c r="D35" s="0" t="str">
        <f aca="false">IF($A35="","",INDEX('Master Task List'!$F:$F,$A35))</f>
        <v>High</v>
      </c>
      <c r="E35" s="39" t="str">
        <f aca="false">IF($A35="","",INDEX('Master Task List'!$G:$G,$A35))</f>
        <v>تركي السبيعي</v>
      </c>
      <c r="F35" s="0" t="str">
        <f aca="false">IF($A35="","",INDEX('Master Task List'!$I:$I,$A35))</f>
        <v>Not Started</v>
      </c>
      <c r="G35" s="40" t="n">
        <f aca="false">IF($A35="","",INDEX('Master Task List'!$N:$N,$A35))</f>
        <v>15</v>
      </c>
      <c r="H35" s="38" t="n">
        <f aca="false">IF($A35="","",INDEX('Master Task List'!$L:$L,$A35))</f>
        <v>46391</v>
      </c>
      <c r="I35" s="0" t="str">
        <f aca="false">IF($A35="","",INDEX('Master Task List'!$P:$P,$A35))</f>
        <v>DMT-067</v>
      </c>
    </row>
    <row r="36" customFormat="false" ht="15" hidden="false" customHeight="false" outlineLevel="0" collapsed="false">
      <c r="A36" s="0" t="n">
        <f aca="false">IFERROR(SMALL('Master Task List'!$U$2:$U$600,35),"")</f>
        <v>75</v>
      </c>
      <c r="B36" s="0" t="str">
        <f aca="false">IF($A36="","",INDEX('Master Task List'!$D:$D,$A36))</f>
        <v>تنفيذ خطة النشر التدريجي</v>
      </c>
      <c r="C36" s="0" t="str">
        <f aca="false">IF($A36="","",INDEX('Master Task List'!$B:$B,$A36))</f>
        <v>Deployment</v>
      </c>
      <c r="D36" s="0" t="str">
        <f aca="false">IF($A36="","",INDEX('Master Task List'!$F:$F,$A36))</f>
        <v>High</v>
      </c>
      <c r="E36" s="39" t="str">
        <f aca="false">IF($A36="","",INDEX('Master Task List'!$G:$G,$A36))</f>
        <v>تركي السبيعي</v>
      </c>
      <c r="F36" s="0" t="str">
        <f aca="false">IF($A36="","",INDEX('Master Task List'!$I:$I,$A36))</f>
        <v>Not Started</v>
      </c>
      <c r="G36" s="40" t="n">
        <f aca="false">IF($A36="","",INDEX('Master Task List'!$N:$N,$A36))</f>
        <v>15</v>
      </c>
      <c r="H36" s="38" t="n">
        <f aca="false">IF($A36="","",INDEX('Master Task List'!$L:$L,$A36))</f>
        <v>46406</v>
      </c>
      <c r="I36" s="0" t="str">
        <f aca="false">IF($A36="","",INDEX('Master Task List'!$P:$P,$A36))</f>
        <v>DMT-073</v>
      </c>
    </row>
    <row r="37" customFormat="false" ht="15" hidden="false" customHeight="false" outlineLevel="0" collapsed="false">
      <c r="A37" s="0" t="n">
        <f aca="false">IFERROR(SMALL('Master Task List'!$U$2:$U$600,36),"")</f>
        <v>76</v>
      </c>
      <c r="B37" s="0" t="str">
        <f aca="false">IF($A37="","",INDEX('Master Task List'!$D:$D,$A37))</f>
        <v>خطة التراجع والاستعادة</v>
      </c>
      <c r="C37" s="0" t="str">
        <f aca="false">IF($A37="","",INDEX('Master Task List'!$B:$B,$A37))</f>
        <v>Deployment</v>
      </c>
      <c r="D37" s="0" t="str">
        <f aca="false">IF($A37="","",INDEX('Master Task List'!$F:$F,$A37))</f>
        <v>High</v>
      </c>
      <c r="E37" s="39" t="str">
        <f aca="false">IF($A37="","",INDEX('Master Task List'!$G:$G,$A37))</f>
        <v>تركي السبيعي</v>
      </c>
      <c r="F37" s="0" t="str">
        <f aca="false">IF($A37="","",INDEX('Master Task List'!$I:$I,$A37))</f>
        <v>Not Started</v>
      </c>
      <c r="G37" s="40" t="n">
        <f aca="false">IF($A37="","",INDEX('Master Task List'!$N:$N,$A37))</f>
        <v>15</v>
      </c>
      <c r="H37" s="38" t="n">
        <f aca="false">IF($A37="","",INDEX('Master Task List'!$L:$L,$A37))</f>
        <v>46421</v>
      </c>
      <c r="I37" s="0" t="str">
        <f aca="false">IF($A37="","",INDEX('Master Task List'!$P:$P,$A37))</f>
        <v>DMT-074</v>
      </c>
    </row>
    <row r="38" customFormat="false" ht="15" hidden="false" customHeight="false" outlineLevel="0" collapsed="false">
      <c r="A38" s="0" t="n">
        <f aca="false">IFERROR(SMALL('Master Task List'!$U$2:$U$600,37),"")</f>
        <v>77</v>
      </c>
      <c r="B38" s="0" t="str">
        <f aca="false">IF($A38="","",INDEX('Master Task List'!$D:$D,$A38))</f>
        <v>توثيق أدلة المستخدم</v>
      </c>
      <c r="C38" s="0" t="str">
        <f aca="false">IF($A38="","",INDEX('Master Task List'!$B:$B,$A38))</f>
        <v>Documentation</v>
      </c>
      <c r="D38" s="0" t="str">
        <f aca="false">IF($A38="","",INDEX('Master Task List'!$F:$F,$A38))</f>
        <v>Low</v>
      </c>
      <c r="E38" s="39" t="str">
        <f aca="false">IF($A38="","",INDEX('Master Task List'!$G:$G,$A38))</f>
        <v>سارة العتيبي</v>
      </c>
      <c r="F38" s="0" t="str">
        <f aca="false">IF($A38="","",INDEX('Master Task List'!$I:$I,$A38))</f>
        <v>Not Started</v>
      </c>
      <c r="G38" s="40" t="n">
        <f aca="false">IF($A38="","",INDEX('Master Task List'!$N:$N,$A38))</f>
        <v>30</v>
      </c>
      <c r="H38" s="38" t="n">
        <f aca="false">IF($A38="","",INDEX('Master Task List'!$L:$L,$A38))</f>
        <v>46360</v>
      </c>
      <c r="I38" s="0" t="str">
        <f aca="false">IF($A38="","",INDEX('Master Task List'!$P:$P,$A38))</f>
        <v>DMT-067</v>
      </c>
    </row>
    <row r="39" customFormat="false" ht="15" hidden="false" customHeight="false" outlineLevel="0" collapsed="false">
      <c r="A39" s="0" t="n">
        <f aca="false">IFERROR(SMALL('Master Task List'!$U$2:$U$600,38),"")</f>
        <v>78</v>
      </c>
      <c r="B39" s="0" t="str">
        <f aca="false">IF($A39="","",INDEX('Master Task List'!$D:$D,$A39))</f>
        <v>توثيق الأنظمة التقنية</v>
      </c>
      <c r="C39" s="0" t="str">
        <f aca="false">IF($A39="","",INDEX('Master Task List'!$B:$B,$A39))</f>
        <v>Documentation</v>
      </c>
      <c r="D39" s="0" t="str">
        <f aca="false">IF($A39="","",INDEX('Master Task List'!$F:$F,$A39))</f>
        <v>Medium</v>
      </c>
      <c r="E39" s="39" t="str">
        <f aca="false">IF($A39="","",INDEX('Master Task List'!$G:$G,$A39))</f>
        <v>سارة العتيبي</v>
      </c>
      <c r="F39" s="0" t="str">
        <f aca="false">IF($A39="","",INDEX('Master Task List'!$I:$I,$A39))</f>
        <v>Not Started</v>
      </c>
      <c r="G39" s="40" t="n">
        <f aca="false">IF($A39="","",INDEX('Master Task List'!$N:$N,$A39))</f>
        <v>31</v>
      </c>
      <c r="H39" s="38" t="n">
        <f aca="false">IF($A39="","",INDEX('Master Task List'!$L:$L,$A39))</f>
        <v>46391</v>
      </c>
      <c r="I39" s="0" t="str">
        <f aca="false">IF($A39="","",INDEX('Master Task List'!$P:$P,$A39))</f>
        <v>DMT-076</v>
      </c>
    </row>
    <row r="40" customFormat="false" ht="15" hidden="false" customHeight="false" outlineLevel="0" collapsed="false">
      <c r="A40" s="0" t="n">
        <f aca="false">IFERROR(SMALL('Master Task List'!$U$2:$U$600,39),"")</f>
        <v>79</v>
      </c>
      <c r="B40" s="0" t="str">
        <f aca="false">IF($A40="","",INDEX('Master Task List'!$D:$D,$A40))</f>
        <v>توثيق السياسات والإجراءات</v>
      </c>
      <c r="C40" s="0" t="str">
        <f aca="false">IF($A40="","",INDEX('Master Task List'!$B:$B,$A40))</f>
        <v>Documentation</v>
      </c>
      <c r="D40" s="0" t="str">
        <f aca="false">IF($A40="","",INDEX('Master Task List'!$F:$F,$A40))</f>
        <v>Medium</v>
      </c>
      <c r="E40" s="39" t="str">
        <f aca="false">IF($A40="","",INDEX('Master Task List'!$G:$G,$A40))</f>
        <v>سارة العتيبي</v>
      </c>
      <c r="F40" s="0" t="str">
        <f aca="false">IF($A40="","",INDEX('Master Task List'!$I:$I,$A40))</f>
        <v>Not Started</v>
      </c>
      <c r="G40" s="40" t="n">
        <f aca="false">IF($A40="","",INDEX('Master Task List'!$N:$N,$A40))</f>
        <v>30</v>
      </c>
      <c r="H40" s="38" t="n">
        <f aca="false">IF($A40="","",INDEX('Master Task List'!$L:$L,$A40))</f>
        <v>46421</v>
      </c>
      <c r="I40" s="0" t="str">
        <f aca="false">IF($A40="","",INDEX('Master Task List'!$P:$P,$A40))</f>
        <v>DMT-077</v>
      </c>
    </row>
    <row r="41" customFormat="false" ht="15" hidden="false" customHeight="false" outlineLevel="0" collapsed="false">
      <c r="A41" s="0" t="n">
        <f aca="false">IFERROR(SMALL('Master Task List'!$U$2:$U$600,40),"")</f>
        <v>80</v>
      </c>
      <c r="B41" s="0" t="str">
        <f aca="false">IF($A41="","",INDEX('Master Task List'!$D:$D,$A41))</f>
        <v>تسجيل العلامة التجارية</v>
      </c>
      <c r="C41" s="0" t="str">
        <f aca="false">IF($A41="","",INDEX('Master Task List'!$B:$B,$A41))</f>
        <v>Intellectual Property</v>
      </c>
      <c r="D41" s="0" t="str">
        <f aca="false">IF($A41="","",INDEX('Master Task List'!$F:$F,$A41))</f>
        <v>Medium</v>
      </c>
      <c r="E41" s="39" t="str">
        <f aca="false">IF($A41="","",INDEX('Master Task List'!$G:$G,$A41))</f>
        <v>ياسر الأحمدي</v>
      </c>
      <c r="F41" s="0" t="str">
        <f aca="false">IF($A41="","",INDEX('Master Task List'!$I:$I,$A41))</f>
        <v>Not Started</v>
      </c>
      <c r="G41" s="40" t="n">
        <f aca="false">IF($A41="","",INDEX('Master Task List'!$N:$N,$A41))</f>
        <v>30</v>
      </c>
      <c r="H41" s="38" t="n">
        <f aca="false">IF($A41="","",INDEX('Master Task List'!$L:$L,$A41))</f>
        <v>46330</v>
      </c>
      <c r="I41" s="0" t="str">
        <f aca="false">IF($A41="","",INDEX('Master Task List'!$P:$P,$A41))</f>
        <v>DMT-010</v>
      </c>
    </row>
    <row r="42" customFormat="false" ht="15" hidden="false" customHeight="false" outlineLevel="0" collapsed="false">
      <c r="A42" s="0" t="n">
        <f aca="false">IFERROR(SMALL('Master Task List'!$U$2:$U$600,41),"")</f>
        <v>81</v>
      </c>
      <c r="B42" s="0" t="str">
        <f aca="false">IF($A42="","",INDEX('Master Task List'!$D:$D,$A42))</f>
        <v>حماية حقوق الملكية الفكرية للبرمجيات</v>
      </c>
      <c r="C42" s="0" t="str">
        <f aca="false">IF($A42="","",INDEX('Master Task List'!$B:$B,$A42))</f>
        <v>Intellectual Property</v>
      </c>
      <c r="D42" s="0" t="str">
        <f aca="false">IF($A42="","",INDEX('Master Task List'!$F:$F,$A42))</f>
        <v>Medium</v>
      </c>
      <c r="E42" s="39" t="str">
        <f aca="false">IF($A42="","",INDEX('Master Task List'!$G:$G,$A42))</f>
        <v>ياسر الأحمدي</v>
      </c>
      <c r="F42" s="0" t="str">
        <f aca="false">IF($A42="","",INDEX('Master Task List'!$I:$I,$A42))</f>
        <v>Not Started</v>
      </c>
      <c r="G42" s="40" t="n">
        <f aca="false">IF($A42="","",INDEX('Master Task List'!$N:$N,$A42))</f>
        <v>31</v>
      </c>
      <c r="H42" s="38" t="n">
        <f aca="false">IF($A42="","",INDEX('Master Task List'!$L:$L,$A42))</f>
        <v>46361</v>
      </c>
      <c r="I42" s="0" t="str">
        <f aca="false">IF($A42="","",INDEX('Master Task List'!$P:$P,$A42))</f>
        <v>DMT-079</v>
      </c>
    </row>
    <row r="43" customFormat="false" ht="15" hidden="false" customHeight="false" outlineLevel="0" collapsed="false">
      <c r="A43" s="0" t="n">
        <f aca="false">IFERROR(SMALL('Master Task List'!$U$2:$U$600,42),"")</f>
        <v>83</v>
      </c>
      <c r="B43" s="0" t="str">
        <f aca="false">IF($A43="","",INDEX('Master Task List'!$D:$D,$A43))</f>
        <v>مراجعة الامتثال لأنظمة حماية البيانات</v>
      </c>
      <c r="C43" s="0" t="str">
        <f aca="false">IF($A43="","",INDEX('Master Task List'!$B:$B,$A43))</f>
        <v>Legal Compliance</v>
      </c>
      <c r="D43" s="0" t="str">
        <f aca="false">IF($A43="","",INDEX('Master Task List'!$F:$F,$A43))</f>
        <v>High</v>
      </c>
      <c r="E43" s="39" t="str">
        <f aca="false">IF($A43="","",INDEX('Master Task List'!$G:$G,$A43))</f>
        <v>ياسر الأحمدي</v>
      </c>
      <c r="F43" s="0" t="str">
        <f aca="false">IF($A43="","",INDEX('Master Task List'!$I:$I,$A43))</f>
        <v>Not Started</v>
      </c>
      <c r="G43" s="40" t="n">
        <f aca="false">IF($A43="","",INDEX('Master Task List'!$N:$N,$A43))</f>
        <v>41</v>
      </c>
      <c r="H43" s="38" t="n">
        <f aca="false">IF($A43="","",INDEX('Master Task List'!$L:$L,$A43))</f>
        <v>46310</v>
      </c>
      <c r="I43" s="0" t="str">
        <f aca="false">IF($A43="","",INDEX('Master Task List'!$P:$P,$A43))</f>
        <v>DMT-031</v>
      </c>
    </row>
    <row r="44" customFormat="false" ht="15" hidden="false" customHeight="false" outlineLevel="0" collapsed="false">
      <c r="A44" s="0" t="n">
        <f aca="false">IFERROR(SMALL('Master Task List'!$U$2:$U$600,43),"")</f>
        <v>84</v>
      </c>
      <c r="B44" s="0" t="str">
        <f aca="false">IF($A44="","",INDEX('Master Task List'!$D:$D,$A44))</f>
        <v>إعداد الشروط والأحكام</v>
      </c>
      <c r="C44" s="0" t="str">
        <f aca="false">IF($A44="","",INDEX('Master Task List'!$B:$B,$A44))</f>
        <v>Legal Compliance</v>
      </c>
      <c r="D44" s="0" t="str">
        <f aca="false">IF($A44="","",INDEX('Master Task List'!$F:$F,$A44))</f>
        <v>High</v>
      </c>
      <c r="E44" s="39" t="str">
        <f aca="false">IF($A44="","",INDEX('Master Task List'!$G:$G,$A44))</f>
        <v>ياسر الأحمدي</v>
      </c>
      <c r="F44" s="0" t="str">
        <f aca="false">IF($A44="","",INDEX('Master Task List'!$I:$I,$A44))</f>
        <v>Not Started</v>
      </c>
      <c r="G44" s="40" t="n">
        <f aca="false">IF($A44="","",INDEX('Master Task List'!$N:$N,$A44))</f>
        <v>40</v>
      </c>
      <c r="H44" s="38" t="n">
        <f aca="false">IF($A44="","",INDEX('Master Task List'!$L:$L,$A44))</f>
        <v>46350</v>
      </c>
      <c r="I44" s="0" t="str">
        <f aca="false">IF($A44="","",INDEX('Master Task List'!$P:$P,$A44))</f>
        <v>DMT-082</v>
      </c>
    </row>
    <row r="45" customFormat="false" ht="15" hidden="false" customHeight="false" outlineLevel="0" collapsed="false">
      <c r="A45" s="0" t="n">
        <f aca="false">IFERROR(SMALL('Master Task List'!$U$2:$U$600,44),"")</f>
        <v>85</v>
      </c>
      <c r="B45" s="0" t="str">
        <f aca="false">IF($A45="","",INDEX('Master Task List'!$D:$D,$A45))</f>
        <v>مراجعة الامتثال لأنظمة التجارة الإلكترونية</v>
      </c>
      <c r="C45" s="0" t="str">
        <f aca="false">IF($A45="","",INDEX('Master Task List'!$B:$B,$A45))</f>
        <v>Legal Compliance</v>
      </c>
      <c r="D45" s="0" t="str">
        <f aca="false">IF($A45="","",INDEX('Master Task List'!$F:$F,$A45))</f>
        <v>High</v>
      </c>
      <c r="E45" s="39" t="str">
        <f aca="false">IF($A45="","",INDEX('Master Task List'!$G:$G,$A45))</f>
        <v>ياسر الأحمدي</v>
      </c>
      <c r="F45" s="0" t="str">
        <f aca="false">IF($A45="","",INDEX('Master Task List'!$I:$I,$A45))</f>
        <v>Not Started</v>
      </c>
      <c r="G45" s="40" t="n">
        <f aca="false">IF($A45="","",INDEX('Master Task List'!$N:$N,$A45))</f>
        <v>41</v>
      </c>
      <c r="H45" s="38" t="n">
        <f aca="false">IF($A45="","",INDEX('Master Task List'!$L:$L,$A45))</f>
        <v>46391</v>
      </c>
      <c r="I45" s="0" t="str">
        <f aca="false">IF($A45="","",INDEX('Master Task List'!$P:$P,$A45))</f>
        <v>DMT-083</v>
      </c>
    </row>
    <row r="46" customFormat="false" ht="15" hidden="false" customHeight="false" outlineLevel="0" collapsed="false">
      <c r="A46" s="0" t="n">
        <f aca="false">IFERROR(SMALL('Master Task List'!$U$2:$U$600,45),"")</f>
        <v>86</v>
      </c>
      <c r="B46" s="0" t="str">
        <f aca="false">IF($A46="","",INDEX('Master Task List'!$D:$D,$A46))</f>
        <v>إعداد خطة الإطلاق التسويقي</v>
      </c>
      <c r="C46" s="0" t="str">
        <f aca="false">IF($A46="","",INDEX('Master Task List'!$B:$B,$A46))</f>
        <v>Launch Preparation</v>
      </c>
      <c r="D46" s="0" t="str">
        <f aca="false">IF($A46="","",INDEX('Master Task List'!$F:$F,$A46))</f>
        <v>High</v>
      </c>
      <c r="E46" s="39" t="str">
        <f aca="false">IF($A46="","",INDEX('Master Task List'!$G:$G,$A46))</f>
        <v>جواهر العصيمي</v>
      </c>
      <c r="F46" s="0" t="str">
        <f aca="false">IF($A46="","",INDEX('Master Task List'!$I:$I,$A46))</f>
        <v>Not Started</v>
      </c>
      <c r="G46" s="40" t="n">
        <f aca="false">IF($A46="","",INDEX('Master Task List'!$N:$N,$A46))</f>
        <v>15</v>
      </c>
      <c r="H46" s="38" t="n">
        <f aca="false">IF($A46="","",INDEX('Master Task List'!$L:$L,$A46))</f>
        <v>46421</v>
      </c>
      <c r="I46" s="0" t="str">
        <f aca="false">IF($A46="","",INDEX('Master Task List'!$P:$P,$A46))</f>
        <v>DMT-073</v>
      </c>
    </row>
    <row r="47" customFormat="false" ht="15" hidden="false" customHeight="false" outlineLevel="0" collapsed="false">
      <c r="A47" s="0" t="n">
        <f aca="false">IFERROR(SMALL('Master Task List'!$U$2:$U$600,46),"")</f>
        <v>87</v>
      </c>
      <c r="B47" s="0" t="str">
        <f aca="false">IF($A47="","",INDEX('Master Task List'!$D:$D,$A47))</f>
        <v>تدريب فريق الدعم الفني</v>
      </c>
      <c r="C47" s="0" t="str">
        <f aca="false">IF($A47="","",INDEX('Master Task List'!$B:$B,$A47))</f>
        <v>Launch Preparation</v>
      </c>
      <c r="D47" s="0" t="str">
        <f aca="false">IF($A47="","",INDEX('Master Task List'!$F:$F,$A47))</f>
        <v>High</v>
      </c>
      <c r="E47" s="39" t="str">
        <f aca="false">IF($A47="","",INDEX('Master Task List'!$G:$G,$A47))</f>
        <v>جواهر العصيمي</v>
      </c>
      <c r="F47" s="0" t="str">
        <f aca="false">IF($A47="","",INDEX('Master Task List'!$I:$I,$A47))</f>
        <v>Not Started</v>
      </c>
      <c r="G47" s="40" t="n">
        <f aca="false">IF($A47="","",INDEX('Master Task List'!$N:$N,$A47))</f>
        <v>16</v>
      </c>
      <c r="H47" s="38" t="n">
        <f aca="false">IF($A47="","",INDEX('Master Task List'!$L:$L,$A47))</f>
        <v>46437</v>
      </c>
      <c r="I47" s="0" t="str">
        <f aca="false">IF($A47="","",INDEX('Master Task List'!$P:$P,$A47))</f>
        <v>DMT-085</v>
      </c>
    </row>
    <row r="48" customFormat="false" ht="15" hidden="false" customHeight="false" outlineLevel="0" collapsed="false">
      <c r="A48" s="0" t="n">
        <f aca="false">IFERROR(SMALL('Master Task List'!$U$2:$U$600,47),"")</f>
        <v>88</v>
      </c>
      <c r="B48" s="0" t="str">
        <f aca="false">IF($A48="","",INDEX('Master Task List'!$D:$D,$A48))</f>
        <v>إعداد قنوات الدعم والمتابعة</v>
      </c>
      <c r="C48" s="0" t="str">
        <f aca="false">IF($A48="","",INDEX('Master Task List'!$B:$B,$A48))</f>
        <v>Launch Preparation</v>
      </c>
      <c r="D48" s="0" t="str">
        <f aca="false">IF($A48="","",INDEX('Master Task List'!$F:$F,$A48))</f>
        <v>High</v>
      </c>
      <c r="E48" s="39" t="str">
        <f aca="false">IF($A48="","",INDEX('Master Task List'!$G:$G,$A48))</f>
        <v>جواهر العصيمي</v>
      </c>
      <c r="F48" s="0" t="str">
        <f aca="false">IF($A48="","",INDEX('Master Task List'!$I:$I,$A48))</f>
        <v>Not Started</v>
      </c>
      <c r="G48" s="40" t="n">
        <f aca="false">IF($A48="","",INDEX('Master Task List'!$N:$N,$A48))</f>
        <v>15</v>
      </c>
      <c r="H48" s="38" t="n">
        <f aca="false">IF($A48="","",INDEX('Master Task List'!$L:$L,$A48))</f>
        <v>46452</v>
      </c>
      <c r="I48" s="0" t="str">
        <f aca="false">IF($A48="","",INDEX('Master Task List'!$P:$P,$A48))</f>
        <v>DMT-086</v>
      </c>
    </row>
    <row r="49" customFormat="false" ht="15" hidden="false" customHeight="false" outlineLevel="0" collapsed="false">
      <c r="A49" s="0" t="n">
        <f aca="false">IFERROR(SMALL('Master Task List'!$U$2:$U$600,48),"")</f>
        <v>89</v>
      </c>
      <c r="B49" s="0" t="str">
        <f aca="false">IF($A49="","",INDEX('Master Task List'!$D:$D,$A49))</f>
        <v>جمع ملاحظات المستخدمين بعد الإطلاق</v>
      </c>
      <c r="C49" s="0" t="str">
        <f aca="false">IF($A49="","",INDEX('Master Task List'!$B:$B,$A49))</f>
        <v>Post Launch Improvements</v>
      </c>
      <c r="D49" s="0" t="str">
        <f aca="false">IF($A49="","",INDEX('Master Task List'!$F:$F,$A49))</f>
        <v>Low</v>
      </c>
      <c r="E49" s="39" t="str">
        <f aca="false">IF($A49="","",INDEX('Master Task List'!$G:$G,$A49))</f>
        <v>جواهر العصيمي</v>
      </c>
      <c r="F49" s="0" t="str">
        <f aca="false">IF($A49="","",INDEX('Master Task List'!$I:$I,$A49))</f>
        <v>Not Started</v>
      </c>
      <c r="G49" s="40" t="n">
        <f aca="false">IF($A49="","",INDEX('Master Task List'!$N:$N,$A49))</f>
        <v>20</v>
      </c>
      <c r="H49" s="38" t="n">
        <f aca="false">IF($A49="","",INDEX('Master Task List'!$L:$L,$A49))</f>
        <v>46472</v>
      </c>
      <c r="I49" s="0" t="str">
        <f aca="false">IF($A49="","",INDEX('Master Task List'!$P:$P,$A49))</f>
        <v>DMT-085</v>
      </c>
    </row>
    <row r="50" customFormat="false" ht="15" hidden="false" customHeight="false" outlineLevel="0" collapsed="false">
      <c r="A50" s="0" t="n">
        <f aca="false">IFERROR(SMALL('Master Task List'!$U$2:$U$600,49),"")</f>
        <v>90</v>
      </c>
      <c r="B50" s="0" t="str">
        <f aca="false">IF($A50="","",INDEX('Master Task List'!$D:$D,$A50))</f>
        <v>إصدار تحديثات الإصلاحات</v>
      </c>
      <c r="C50" s="0" t="str">
        <f aca="false">IF($A50="","",INDEX('Master Task List'!$B:$B,$A50))</f>
        <v>Post Launch Improvements</v>
      </c>
      <c r="D50" s="0" t="str">
        <f aca="false">IF($A50="","",INDEX('Master Task List'!$F:$F,$A50))</f>
        <v>Medium</v>
      </c>
      <c r="E50" s="39" t="str">
        <f aca="false">IF($A50="","",INDEX('Master Task List'!$G:$G,$A50))</f>
        <v>جواهر العصيمي</v>
      </c>
      <c r="F50" s="0" t="str">
        <f aca="false">IF($A50="","",INDEX('Master Task List'!$I:$I,$A50))</f>
        <v>Not Started</v>
      </c>
      <c r="G50" s="40" t="n">
        <f aca="false">IF($A50="","",INDEX('Master Task List'!$N:$N,$A50))</f>
        <v>20</v>
      </c>
      <c r="H50" s="38" t="n">
        <f aca="false">IF($A50="","",INDEX('Master Task List'!$L:$L,$A50))</f>
        <v>46492</v>
      </c>
      <c r="I50" s="0" t="str">
        <f aca="false">IF($A50="","",INDEX('Master Task List'!$P:$P,$A50))</f>
        <v>DMT-088</v>
      </c>
    </row>
    <row r="51" customFormat="false" ht="15" hidden="false" customHeight="false" outlineLevel="0" collapsed="false">
      <c r="A51" s="0" t="n">
        <f aca="false">IFERROR(SMALL('Master Task List'!$U$2:$U$600,50),"")</f>
        <v>91</v>
      </c>
      <c r="B51" s="0" t="str">
        <f aca="false">IF($A51="","",INDEX('Master Task List'!$D:$D,$A51))</f>
        <v>خطة التوسع للمرحلة الثانية</v>
      </c>
      <c r="C51" s="0" t="str">
        <f aca="false">IF($A51="","",INDEX('Master Task List'!$B:$B,$A51))</f>
        <v>Post Launch Improvements</v>
      </c>
      <c r="D51" s="0" t="str">
        <f aca="false">IF($A51="","",INDEX('Master Task List'!$F:$F,$A51))</f>
        <v>Medium</v>
      </c>
      <c r="E51" s="39" t="str">
        <f aca="false">IF($A51="","",INDEX('Master Task List'!$G:$G,$A51))</f>
        <v>جواهر العصيمي</v>
      </c>
      <c r="F51" s="0" t="str">
        <f aca="false">IF($A51="","",INDEX('Master Task List'!$I:$I,$A51))</f>
        <v>Not Started</v>
      </c>
      <c r="G51" s="40" t="n">
        <f aca="false">IF($A51="","",INDEX('Master Task List'!$N:$N,$A51))</f>
        <v>20</v>
      </c>
      <c r="H51" s="38" t="n">
        <f aca="false">IF($A51="","",INDEX('Master Task List'!$L:$L,$A51))</f>
        <v>46512</v>
      </c>
      <c r="I51" s="0" t="str">
        <f aca="false">IF($A51="","",INDEX('Master Task List'!$P:$P,$A51))</f>
        <v>DMT-089</v>
      </c>
    </row>
    <row r="52" customFormat="false" ht="15" hidden="false" customHeight="false" outlineLevel="0" collapsed="false">
      <c r="A52" s="0" t="str">
        <f aca="false">IFERROR(SMALL('Master Task List'!$U$2:$U$600,51),"")</f>
        <v/>
      </c>
      <c r="B52" s="0" t="str">
        <f aca="false">IF($A52="","",INDEX('Master Task List'!$D:$D,$A52))</f>
        <v/>
      </c>
      <c r="C52" s="0" t="str">
        <f aca="false">IF($A52="","",INDEX('Master Task List'!$B:$B,$A52))</f>
        <v/>
      </c>
      <c r="D52" s="0" t="str">
        <f aca="false">IF($A52="","",INDEX('Master Task List'!$F:$F,$A52))</f>
        <v/>
      </c>
      <c r="E52" s="39" t="str">
        <f aca="false">IF($A52="","",INDEX('Master Task List'!$G:$G,$A52))</f>
        <v/>
      </c>
      <c r="F52" s="0" t="str">
        <f aca="false">IF($A52="","",INDEX('Master Task List'!$I:$I,$A52))</f>
        <v/>
      </c>
      <c r="G52" s="40" t="str">
        <f aca="false">IF($A52="","",INDEX('Master Task List'!$N:$N,$A52))</f>
        <v/>
      </c>
      <c r="H52" s="38" t="str">
        <f aca="false">IF($A52="","",INDEX('Master Task List'!$L:$L,$A52))</f>
        <v/>
      </c>
      <c r="I52" s="0" t="str">
        <f aca="false">IF($A52="","",INDEX('Master Task List'!$P:$P,$A52))</f>
        <v/>
      </c>
    </row>
    <row r="53" customFormat="false" ht="15" hidden="false" customHeight="false" outlineLevel="0" collapsed="false">
      <c r="A53" s="0" t="str">
        <f aca="false">IFERROR(SMALL('Master Task List'!$U$2:$U$600,52),"")</f>
        <v/>
      </c>
      <c r="B53" s="0" t="str">
        <f aca="false">IF($A53="","",INDEX('Master Task List'!$D:$D,$A53))</f>
        <v/>
      </c>
      <c r="C53" s="0" t="str">
        <f aca="false">IF($A53="","",INDEX('Master Task List'!$B:$B,$A53))</f>
        <v/>
      </c>
      <c r="D53" s="0" t="str">
        <f aca="false">IF($A53="","",INDEX('Master Task List'!$F:$F,$A53))</f>
        <v/>
      </c>
      <c r="E53" s="39" t="str">
        <f aca="false">IF($A53="","",INDEX('Master Task List'!$G:$G,$A53))</f>
        <v/>
      </c>
      <c r="F53" s="0" t="str">
        <f aca="false">IF($A53="","",INDEX('Master Task List'!$I:$I,$A53))</f>
        <v/>
      </c>
      <c r="G53" s="40" t="str">
        <f aca="false">IF($A53="","",INDEX('Master Task List'!$N:$N,$A53))</f>
        <v/>
      </c>
      <c r="H53" s="38" t="str">
        <f aca="false">IF($A53="","",INDEX('Master Task List'!$L:$L,$A53))</f>
        <v/>
      </c>
      <c r="I53" s="0" t="str">
        <f aca="false">IF($A53="","",INDEX('Master Task List'!$P:$P,$A53))</f>
        <v/>
      </c>
    </row>
    <row r="54" customFormat="false" ht="15" hidden="false" customHeight="false" outlineLevel="0" collapsed="false">
      <c r="A54" s="0" t="str">
        <f aca="false">IFERROR(SMALL('Master Task List'!$U$2:$U$600,53),"")</f>
        <v/>
      </c>
      <c r="B54" s="0" t="str">
        <f aca="false">IF($A54="","",INDEX('Master Task List'!$D:$D,$A54))</f>
        <v/>
      </c>
      <c r="C54" s="0" t="str">
        <f aca="false">IF($A54="","",INDEX('Master Task List'!$B:$B,$A54))</f>
        <v/>
      </c>
      <c r="D54" s="0" t="str">
        <f aca="false">IF($A54="","",INDEX('Master Task List'!$F:$F,$A54))</f>
        <v/>
      </c>
      <c r="E54" s="39" t="str">
        <f aca="false">IF($A54="","",INDEX('Master Task List'!$G:$G,$A54))</f>
        <v/>
      </c>
      <c r="F54" s="0" t="str">
        <f aca="false">IF($A54="","",INDEX('Master Task List'!$I:$I,$A54))</f>
        <v/>
      </c>
      <c r="G54" s="40" t="str">
        <f aca="false">IF($A54="","",INDEX('Master Task List'!$N:$N,$A54))</f>
        <v/>
      </c>
      <c r="H54" s="38" t="str">
        <f aca="false">IF($A54="","",INDEX('Master Task List'!$L:$L,$A54))</f>
        <v/>
      </c>
      <c r="I54" s="0" t="str">
        <f aca="false">IF($A54="","",INDEX('Master Task List'!$P:$P,$A54))</f>
        <v/>
      </c>
    </row>
    <row r="55" customFormat="false" ht="15" hidden="false" customHeight="false" outlineLevel="0" collapsed="false">
      <c r="A55" s="0" t="str">
        <f aca="false">IFERROR(SMALL('Master Task List'!$U$2:$U$600,54),"")</f>
        <v/>
      </c>
      <c r="B55" s="0" t="str">
        <f aca="false">IF($A55="","",INDEX('Master Task List'!$D:$D,$A55))</f>
        <v/>
      </c>
      <c r="C55" s="0" t="str">
        <f aca="false">IF($A55="","",INDEX('Master Task List'!$B:$B,$A55))</f>
        <v/>
      </c>
      <c r="D55" s="0" t="str">
        <f aca="false">IF($A55="","",INDEX('Master Task List'!$F:$F,$A55))</f>
        <v/>
      </c>
      <c r="E55" s="39" t="str">
        <f aca="false">IF($A55="","",INDEX('Master Task List'!$G:$G,$A55))</f>
        <v/>
      </c>
      <c r="F55" s="0" t="str">
        <f aca="false">IF($A55="","",INDEX('Master Task List'!$I:$I,$A55))</f>
        <v/>
      </c>
      <c r="G55" s="40" t="str">
        <f aca="false">IF($A55="","",INDEX('Master Task List'!$N:$N,$A55))</f>
        <v/>
      </c>
      <c r="H55" s="38" t="str">
        <f aca="false">IF($A55="","",INDEX('Master Task List'!$L:$L,$A55))</f>
        <v/>
      </c>
      <c r="I55" s="0" t="str">
        <f aca="false">IF($A55="","",INDEX('Master Task List'!$P:$P,$A55))</f>
        <v/>
      </c>
    </row>
    <row r="56" customFormat="false" ht="15" hidden="false" customHeight="false" outlineLevel="0" collapsed="false">
      <c r="A56" s="0" t="str">
        <f aca="false">IFERROR(SMALL('Master Task List'!$U$2:$U$600,55),"")</f>
        <v/>
      </c>
      <c r="B56" s="0" t="str">
        <f aca="false">IF($A56="","",INDEX('Master Task List'!$D:$D,$A56))</f>
        <v/>
      </c>
      <c r="C56" s="0" t="str">
        <f aca="false">IF($A56="","",INDEX('Master Task List'!$B:$B,$A56))</f>
        <v/>
      </c>
      <c r="D56" s="0" t="str">
        <f aca="false">IF($A56="","",INDEX('Master Task List'!$F:$F,$A56))</f>
        <v/>
      </c>
      <c r="E56" s="39" t="str">
        <f aca="false">IF($A56="","",INDEX('Master Task List'!$G:$G,$A56))</f>
        <v/>
      </c>
      <c r="F56" s="0" t="str">
        <f aca="false">IF($A56="","",INDEX('Master Task List'!$I:$I,$A56))</f>
        <v/>
      </c>
      <c r="G56" s="40" t="str">
        <f aca="false">IF($A56="","",INDEX('Master Task List'!$N:$N,$A56))</f>
        <v/>
      </c>
      <c r="H56" s="38" t="str">
        <f aca="false">IF($A56="","",INDEX('Master Task List'!$L:$L,$A56))</f>
        <v/>
      </c>
      <c r="I56" s="0" t="str">
        <f aca="false">IF($A56="","",INDEX('Master Task List'!$P:$P,$A56))</f>
        <v/>
      </c>
    </row>
    <row r="57" customFormat="false" ht="15" hidden="false" customHeight="false" outlineLevel="0" collapsed="false">
      <c r="A57" s="0" t="str">
        <f aca="false">IFERROR(SMALL('Master Task List'!$U$2:$U$600,56),"")</f>
        <v/>
      </c>
      <c r="B57" s="0" t="str">
        <f aca="false">IF($A57="","",INDEX('Master Task List'!$D:$D,$A57))</f>
        <v/>
      </c>
      <c r="C57" s="0" t="str">
        <f aca="false">IF($A57="","",INDEX('Master Task List'!$B:$B,$A57))</f>
        <v/>
      </c>
      <c r="D57" s="0" t="str">
        <f aca="false">IF($A57="","",INDEX('Master Task List'!$F:$F,$A57))</f>
        <v/>
      </c>
      <c r="E57" s="39" t="str">
        <f aca="false">IF($A57="","",INDEX('Master Task List'!$G:$G,$A57))</f>
        <v/>
      </c>
      <c r="F57" s="0" t="str">
        <f aca="false">IF($A57="","",INDEX('Master Task List'!$I:$I,$A57))</f>
        <v/>
      </c>
      <c r="G57" s="40" t="str">
        <f aca="false">IF($A57="","",INDEX('Master Task List'!$N:$N,$A57))</f>
        <v/>
      </c>
      <c r="H57" s="38" t="str">
        <f aca="false">IF($A57="","",INDEX('Master Task List'!$L:$L,$A57))</f>
        <v/>
      </c>
      <c r="I57" s="0" t="str">
        <f aca="false">IF($A57="","",INDEX('Master Task List'!$P:$P,$A57))</f>
        <v/>
      </c>
    </row>
    <row r="58" customFormat="false" ht="15" hidden="false" customHeight="false" outlineLevel="0" collapsed="false">
      <c r="A58" s="0" t="str">
        <f aca="false">IFERROR(SMALL('Master Task List'!$U$2:$U$600,57),"")</f>
        <v/>
      </c>
      <c r="B58" s="0" t="str">
        <f aca="false">IF($A58="","",INDEX('Master Task List'!$D:$D,$A58))</f>
        <v/>
      </c>
      <c r="C58" s="0" t="str">
        <f aca="false">IF($A58="","",INDEX('Master Task List'!$B:$B,$A58))</f>
        <v/>
      </c>
      <c r="D58" s="0" t="str">
        <f aca="false">IF($A58="","",INDEX('Master Task List'!$F:$F,$A58))</f>
        <v/>
      </c>
      <c r="E58" s="39" t="str">
        <f aca="false">IF($A58="","",INDEX('Master Task List'!$G:$G,$A58))</f>
        <v/>
      </c>
      <c r="F58" s="0" t="str">
        <f aca="false">IF($A58="","",INDEX('Master Task List'!$I:$I,$A58))</f>
        <v/>
      </c>
      <c r="G58" s="40" t="str">
        <f aca="false">IF($A58="","",INDEX('Master Task List'!$N:$N,$A58))</f>
        <v/>
      </c>
      <c r="H58" s="38" t="str">
        <f aca="false">IF($A58="","",INDEX('Master Task List'!$L:$L,$A58))</f>
        <v/>
      </c>
      <c r="I58" s="0" t="str">
        <f aca="false">IF($A58="","",INDEX('Master Task List'!$P:$P,$A58))</f>
        <v/>
      </c>
    </row>
    <row r="59" customFormat="false" ht="15" hidden="false" customHeight="false" outlineLevel="0" collapsed="false">
      <c r="A59" s="0" t="str">
        <f aca="false">IFERROR(SMALL('Master Task List'!$U$2:$U$600,58),"")</f>
        <v/>
      </c>
      <c r="B59" s="0" t="str">
        <f aca="false">IF($A59="","",INDEX('Master Task List'!$D:$D,$A59))</f>
        <v/>
      </c>
      <c r="C59" s="0" t="str">
        <f aca="false">IF($A59="","",INDEX('Master Task List'!$B:$B,$A59))</f>
        <v/>
      </c>
      <c r="D59" s="0" t="str">
        <f aca="false">IF($A59="","",INDEX('Master Task List'!$F:$F,$A59))</f>
        <v/>
      </c>
      <c r="E59" s="39" t="str">
        <f aca="false">IF($A59="","",INDEX('Master Task List'!$G:$G,$A59))</f>
        <v/>
      </c>
      <c r="F59" s="0" t="str">
        <f aca="false">IF($A59="","",INDEX('Master Task List'!$I:$I,$A59))</f>
        <v/>
      </c>
      <c r="G59" s="40" t="str">
        <f aca="false">IF($A59="","",INDEX('Master Task List'!$N:$N,$A59))</f>
        <v/>
      </c>
      <c r="H59" s="38" t="str">
        <f aca="false">IF($A59="","",INDEX('Master Task List'!$L:$L,$A59))</f>
        <v/>
      </c>
      <c r="I59" s="0" t="str">
        <f aca="false">IF($A59="","",INDEX('Master Task List'!$P:$P,$A59))</f>
        <v/>
      </c>
    </row>
    <row r="60" customFormat="false" ht="15" hidden="false" customHeight="false" outlineLevel="0" collapsed="false">
      <c r="A60" s="0" t="str">
        <f aca="false">IFERROR(SMALL('Master Task List'!$U$2:$U$600,59),"")</f>
        <v/>
      </c>
      <c r="B60" s="0" t="str">
        <f aca="false">IF($A60="","",INDEX('Master Task List'!$D:$D,$A60))</f>
        <v/>
      </c>
      <c r="C60" s="0" t="str">
        <f aca="false">IF($A60="","",INDEX('Master Task List'!$B:$B,$A60))</f>
        <v/>
      </c>
      <c r="D60" s="0" t="str">
        <f aca="false">IF($A60="","",INDEX('Master Task List'!$F:$F,$A60))</f>
        <v/>
      </c>
      <c r="E60" s="39" t="str">
        <f aca="false">IF($A60="","",INDEX('Master Task List'!$G:$G,$A60))</f>
        <v/>
      </c>
      <c r="F60" s="0" t="str">
        <f aca="false">IF($A60="","",INDEX('Master Task List'!$I:$I,$A60))</f>
        <v/>
      </c>
      <c r="G60" s="40" t="str">
        <f aca="false">IF($A60="","",INDEX('Master Task List'!$N:$N,$A60))</f>
        <v/>
      </c>
      <c r="H60" s="38" t="str">
        <f aca="false">IF($A60="","",INDEX('Master Task List'!$L:$L,$A60))</f>
        <v/>
      </c>
      <c r="I60" s="0" t="str">
        <f aca="false">IF($A60="","",INDEX('Master Task List'!$P:$P,$A60))</f>
        <v/>
      </c>
    </row>
    <row r="61" customFormat="false" ht="15" hidden="false" customHeight="false" outlineLevel="0" collapsed="false">
      <c r="A61" s="0" t="str">
        <f aca="false">IFERROR(SMALL('Master Task List'!$U$2:$U$600,60),"")</f>
        <v/>
      </c>
      <c r="B61" s="0" t="str">
        <f aca="false">IF($A61="","",INDEX('Master Task List'!$D:$D,$A61))</f>
        <v/>
      </c>
      <c r="C61" s="0" t="str">
        <f aca="false">IF($A61="","",INDEX('Master Task List'!$B:$B,$A61))</f>
        <v/>
      </c>
      <c r="D61" s="0" t="str">
        <f aca="false">IF($A61="","",INDEX('Master Task List'!$F:$F,$A61))</f>
        <v/>
      </c>
      <c r="E61" s="39" t="str">
        <f aca="false">IF($A61="","",INDEX('Master Task List'!$G:$G,$A61))</f>
        <v/>
      </c>
      <c r="F61" s="0" t="str">
        <f aca="false">IF($A61="","",INDEX('Master Task List'!$I:$I,$A61))</f>
        <v/>
      </c>
      <c r="G61" s="40" t="str">
        <f aca="false">IF($A61="","",INDEX('Master Task List'!$N:$N,$A61))</f>
        <v/>
      </c>
      <c r="H61" s="38" t="str">
        <f aca="false">IF($A61="","",INDEX('Master Task List'!$L:$L,$A61))</f>
        <v/>
      </c>
      <c r="I61" s="0" t="str">
        <f aca="false">IF($A61="","",INDEX('Master Task List'!$P:$P,$A61))</f>
        <v/>
      </c>
    </row>
    <row r="62" customFormat="false" ht="15" hidden="false" customHeight="false" outlineLevel="0" collapsed="false">
      <c r="A62" s="0" t="str">
        <f aca="false">IFERROR(SMALL('Master Task List'!$U$2:$U$600,61),"")</f>
        <v/>
      </c>
      <c r="B62" s="0" t="str">
        <f aca="false">IF($A62="","",INDEX('Master Task List'!$D:$D,$A62))</f>
        <v/>
      </c>
      <c r="C62" s="0" t="str">
        <f aca="false">IF($A62="","",INDEX('Master Task List'!$B:$B,$A62))</f>
        <v/>
      </c>
      <c r="D62" s="0" t="str">
        <f aca="false">IF($A62="","",INDEX('Master Task List'!$F:$F,$A62))</f>
        <v/>
      </c>
      <c r="E62" s="39" t="str">
        <f aca="false">IF($A62="","",INDEX('Master Task List'!$G:$G,$A62))</f>
        <v/>
      </c>
      <c r="F62" s="0" t="str">
        <f aca="false">IF($A62="","",INDEX('Master Task List'!$I:$I,$A62))</f>
        <v/>
      </c>
      <c r="G62" s="40" t="str">
        <f aca="false">IF($A62="","",INDEX('Master Task List'!$N:$N,$A62))</f>
        <v/>
      </c>
      <c r="H62" s="38" t="str">
        <f aca="false">IF($A62="","",INDEX('Master Task List'!$L:$L,$A62))</f>
        <v/>
      </c>
      <c r="I62" s="0" t="str">
        <f aca="false">IF($A62="","",INDEX('Master Task List'!$P:$P,$A62))</f>
        <v/>
      </c>
    </row>
    <row r="63" customFormat="false" ht="15" hidden="false" customHeight="false" outlineLevel="0" collapsed="false">
      <c r="A63" s="0" t="str">
        <f aca="false">IFERROR(SMALL('Master Task List'!$U$2:$U$600,62),"")</f>
        <v/>
      </c>
      <c r="B63" s="0" t="str">
        <f aca="false">IF($A63="","",INDEX('Master Task List'!$D:$D,$A63))</f>
        <v/>
      </c>
      <c r="C63" s="0" t="str">
        <f aca="false">IF($A63="","",INDEX('Master Task List'!$B:$B,$A63))</f>
        <v/>
      </c>
      <c r="D63" s="0" t="str">
        <f aca="false">IF($A63="","",INDEX('Master Task List'!$F:$F,$A63))</f>
        <v/>
      </c>
      <c r="E63" s="39" t="str">
        <f aca="false">IF($A63="","",INDEX('Master Task List'!$G:$G,$A63))</f>
        <v/>
      </c>
      <c r="F63" s="0" t="str">
        <f aca="false">IF($A63="","",INDEX('Master Task List'!$I:$I,$A63))</f>
        <v/>
      </c>
      <c r="G63" s="40" t="str">
        <f aca="false">IF($A63="","",INDEX('Master Task List'!$N:$N,$A63))</f>
        <v/>
      </c>
      <c r="H63" s="38" t="str">
        <f aca="false">IF($A63="","",INDEX('Master Task List'!$L:$L,$A63))</f>
        <v/>
      </c>
      <c r="I63" s="0" t="str">
        <f aca="false">IF($A63="","",INDEX('Master Task List'!$P:$P,$A63))</f>
        <v/>
      </c>
    </row>
    <row r="64" customFormat="false" ht="15" hidden="false" customHeight="false" outlineLevel="0" collapsed="false">
      <c r="A64" s="0" t="str">
        <f aca="false">IFERROR(SMALL('Master Task List'!$U$2:$U$600,63),"")</f>
        <v/>
      </c>
      <c r="B64" s="0" t="str">
        <f aca="false">IF($A64="","",INDEX('Master Task List'!$D:$D,$A64))</f>
        <v/>
      </c>
      <c r="C64" s="0" t="str">
        <f aca="false">IF($A64="","",INDEX('Master Task List'!$B:$B,$A64))</f>
        <v/>
      </c>
      <c r="D64" s="0" t="str">
        <f aca="false">IF($A64="","",INDEX('Master Task List'!$F:$F,$A64))</f>
        <v/>
      </c>
      <c r="E64" s="39" t="str">
        <f aca="false">IF($A64="","",INDEX('Master Task List'!$G:$G,$A64))</f>
        <v/>
      </c>
      <c r="F64" s="0" t="str">
        <f aca="false">IF($A64="","",INDEX('Master Task List'!$I:$I,$A64))</f>
        <v/>
      </c>
      <c r="G64" s="40" t="str">
        <f aca="false">IF($A64="","",INDEX('Master Task List'!$N:$N,$A64))</f>
        <v/>
      </c>
      <c r="H64" s="38" t="str">
        <f aca="false">IF($A64="","",INDEX('Master Task List'!$L:$L,$A64))</f>
        <v/>
      </c>
      <c r="I64" s="0" t="str">
        <f aca="false">IF($A64="","",INDEX('Master Task List'!$P:$P,$A64))</f>
        <v/>
      </c>
    </row>
    <row r="65" customFormat="false" ht="15" hidden="false" customHeight="false" outlineLevel="0" collapsed="false">
      <c r="A65" s="0" t="str">
        <f aca="false">IFERROR(SMALL('Master Task List'!$U$2:$U$600,64),"")</f>
        <v/>
      </c>
      <c r="B65" s="0" t="str">
        <f aca="false">IF($A65="","",INDEX('Master Task List'!$D:$D,$A65))</f>
        <v/>
      </c>
      <c r="C65" s="0" t="str">
        <f aca="false">IF($A65="","",INDEX('Master Task List'!$B:$B,$A65))</f>
        <v/>
      </c>
      <c r="D65" s="0" t="str">
        <f aca="false">IF($A65="","",INDEX('Master Task List'!$F:$F,$A65))</f>
        <v/>
      </c>
      <c r="E65" s="39" t="str">
        <f aca="false">IF($A65="","",INDEX('Master Task List'!$G:$G,$A65))</f>
        <v/>
      </c>
      <c r="F65" s="0" t="str">
        <f aca="false">IF($A65="","",INDEX('Master Task List'!$I:$I,$A65))</f>
        <v/>
      </c>
      <c r="G65" s="40" t="str">
        <f aca="false">IF($A65="","",INDEX('Master Task List'!$N:$N,$A65))</f>
        <v/>
      </c>
      <c r="H65" s="38" t="str">
        <f aca="false">IF($A65="","",INDEX('Master Task List'!$L:$L,$A65))</f>
        <v/>
      </c>
      <c r="I65" s="0" t="str">
        <f aca="false">IF($A65="","",INDEX('Master Task List'!$P:$P,$A65))</f>
        <v/>
      </c>
    </row>
    <row r="66" customFormat="false" ht="15" hidden="false" customHeight="false" outlineLevel="0" collapsed="false">
      <c r="A66" s="0" t="str">
        <f aca="false">IFERROR(SMALL('Master Task List'!$U$2:$U$600,65),"")</f>
        <v/>
      </c>
      <c r="B66" s="0" t="str">
        <f aca="false">IF($A66="","",INDEX('Master Task List'!$D:$D,$A66))</f>
        <v/>
      </c>
      <c r="C66" s="0" t="str">
        <f aca="false">IF($A66="","",INDEX('Master Task List'!$B:$B,$A66))</f>
        <v/>
      </c>
      <c r="D66" s="0" t="str">
        <f aca="false">IF($A66="","",INDEX('Master Task List'!$F:$F,$A66))</f>
        <v/>
      </c>
      <c r="E66" s="39" t="str">
        <f aca="false">IF($A66="","",INDEX('Master Task List'!$G:$G,$A66))</f>
        <v/>
      </c>
      <c r="F66" s="0" t="str">
        <f aca="false">IF($A66="","",INDEX('Master Task List'!$I:$I,$A66))</f>
        <v/>
      </c>
      <c r="G66" s="40" t="str">
        <f aca="false">IF($A66="","",INDEX('Master Task List'!$N:$N,$A66))</f>
        <v/>
      </c>
      <c r="H66" s="38" t="str">
        <f aca="false">IF($A66="","",INDEX('Master Task List'!$L:$L,$A66))</f>
        <v/>
      </c>
      <c r="I66" s="0" t="str">
        <f aca="false">IF($A66="","",INDEX('Master Task List'!$P:$P,$A66))</f>
        <v/>
      </c>
    </row>
    <row r="67" customFormat="false" ht="15" hidden="false" customHeight="false" outlineLevel="0" collapsed="false">
      <c r="A67" s="0" t="str">
        <f aca="false">IFERROR(SMALL('Master Task List'!$U$2:$U$600,66),"")</f>
        <v/>
      </c>
      <c r="B67" s="0" t="str">
        <f aca="false">IF($A67="","",INDEX('Master Task List'!$D:$D,$A67))</f>
        <v/>
      </c>
      <c r="C67" s="0" t="str">
        <f aca="false">IF($A67="","",INDEX('Master Task List'!$B:$B,$A67))</f>
        <v/>
      </c>
      <c r="D67" s="0" t="str">
        <f aca="false">IF($A67="","",INDEX('Master Task List'!$F:$F,$A67))</f>
        <v/>
      </c>
      <c r="E67" s="39" t="str">
        <f aca="false">IF($A67="","",INDEX('Master Task List'!$G:$G,$A67))</f>
        <v/>
      </c>
      <c r="F67" s="0" t="str">
        <f aca="false">IF($A67="","",INDEX('Master Task List'!$I:$I,$A67))</f>
        <v/>
      </c>
      <c r="G67" s="40" t="str">
        <f aca="false">IF($A67="","",INDEX('Master Task List'!$N:$N,$A67))</f>
        <v/>
      </c>
      <c r="H67" s="38" t="str">
        <f aca="false">IF($A67="","",INDEX('Master Task List'!$L:$L,$A67))</f>
        <v/>
      </c>
      <c r="I67" s="0" t="str">
        <f aca="false">IF($A67="","",INDEX('Master Task List'!$P:$P,$A67))</f>
        <v/>
      </c>
    </row>
    <row r="68" customFormat="false" ht="15" hidden="false" customHeight="false" outlineLevel="0" collapsed="false">
      <c r="A68" s="0" t="str">
        <f aca="false">IFERROR(SMALL('Master Task List'!$U$2:$U$600,67),"")</f>
        <v/>
      </c>
      <c r="B68" s="0" t="str">
        <f aca="false">IF($A68="","",INDEX('Master Task List'!$D:$D,$A68))</f>
        <v/>
      </c>
      <c r="C68" s="0" t="str">
        <f aca="false">IF($A68="","",INDEX('Master Task List'!$B:$B,$A68))</f>
        <v/>
      </c>
      <c r="D68" s="0" t="str">
        <f aca="false">IF($A68="","",INDEX('Master Task List'!$F:$F,$A68))</f>
        <v/>
      </c>
      <c r="E68" s="39" t="str">
        <f aca="false">IF($A68="","",INDEX('Master Task List'!$G:$G,$A68))</f>
        <v/>
      </c>
      <c r="F68" s="0" t="str">
        <f aca="false">IF($A68="","",INDEX('Master Task List'!$I:$I,$A68))</f>
        <v/>
      </c>
      <c r="G68" s="40" t="str">
        <f aca="false">IF($A68="","",INDEX('Master Task List'!$N:$N,$A68))</f>
        <v/>
      </c>
      <c r="H68" s="38" t="str">
        <f aca="false">IF($A68="","",INDEX('Master Task List'!$L:$L,$A68))</f>
        <v/>
      </c>
      <c r="I68" s="0" t="str">
        <f aca="false">IF($A68="","",INDEX('Master Task List'!$P:$P,$A68))</f>
        <v/>
      </c>
    </row>
    <row r="69" customFormat="false" ht="15" hidden="false" customHeight="false" outlineLevel="0" collapsed="false">
      <c r="A69" s="0" t="str">
        <f aca="false">IFERROR(SMALL('Master Task List'!$U$2:$U$600,68),"")</f>
        <v/>
      </c>
      <c r="B69" s="0" t="str">
        <f aca="false">IF($A69="","",INDEX('Master Task List'!$D:$D,$A69))</f>
        <v/>
      </c>
      <c r="C69" s="0" t="str">
        <f aca="false">IF($A69="","",INDEX('Master Task List'!$B:$B,$A69))</f>
        <v/>
      </c>
      <c r="D69" s="0" t="str">
        <f aca="false">IF($A69="","",INDEX('Master Task List'!$F:$F,$A69))</f>
        <v/>
      </c>
      <c r="E69" s="39" t="str">
        <f aca="false">IF($A69="","",INDEX('Master Task List'!$G:$G,$A69))</f>
        <v/>
      </c>
      <c r="F69" s="0" t="str">
        <f aca="false">IF($A69="","",INDEX('Master Task List'!$I:$I,$A69))</f>
        <v/>
      </c>
      <c r="G69" s="40" t="str">
        <f aca="false">IF($A69="","",INDEX('Master Task List'!$N:$N,$A69))</f>
        <v/>
      </c>
      <c r="H69" s="38" t="str">
        <f aca="false">IF($A69="","",INDEX('Master Task List'!$L:$L,$A69))</f>
        <v/>
      </c>
      <c r="I69" s="0" t="str">
        <f aca="false">IF($A69="","",INDEX('Master Task List'!$P:$P,$A69))</f>
        <v/>
      </c>
    </row>
    <row r="70" customFormat="false" ht="15" hidden="false" customHeight="false" outlineLevel="0" collapsed="false">
      <c r="A70" s="0" t="str">
        <f aca="false">IFERROR(SMALL('Master Task List'!$U$2:$U$600,69),"")</f>
        <v/>
      </c>
      <c r="B70" s="0" t="str">
        <f aca="false">IF($A70="","",INDEX('Master Task List'!$D:$D,$A70))</f>
        <v/>
      </c>
      <c r="C70" s="0" t="str">
        <f aca="false">IF($A70="","",INDEX('Master Task List'!$B:$B,$A70))</f>
        <v/>
      </c>
      <c r="D70" s="0" t="str">
        <f aca="false">IF($A70="","",INDEX('Master Task List'!$F:$F,$A70))</f>
        <v/>
      </c>
      <c r="E70" s="39" t="str">
        <f aca="false">IF($A70="","",INDEX('Master Task List'!$G:$G,$A70))</f>
        <v/>
      </c>
      <c r="F70" s="0" t="str">
        <f aca="false">IF($A70="","",INDEX('Master Task List'!$I:$I,$A70))</f>
        <v/>
      </c>
      <c r="G70" s="40" t="str">
        <f aca="false">IF($A70="","",INDEX('Master Task List'!$N:$N,$A70))</f>
        <v/>
      </c>
      <c r="H70" s="38" t="str">
        <f aca="false">IF($A70="","",INDEX('Master Task List'!$L:$L,$A70))</f>
        <v/>
      </c>
      <c r="I70" s="0" t="str">
        <f aca="false">IF($A70="","",INDEX('Master Task List'!$P:$P,$A70))</f>
        <v/>
      </c>
    </row>
    <row r="71" customFormat="false" ht="15" hidden="false" customHeight="false" outlineLevel="0" collapsed="false">
      <c r="A71" s="0" t="str">
        <f aca="false">IFERROR(SMALL('Master Task List'!$U$2:$U$600,70),"")</f>
        <v/>
      </c>
      <c r="B71" s="0" t="str">
        <f aca="false">IF($A71="","",INDEX('Master Task List'!$D:$D,$A71))</f>
        <v/>
      </c>
      <c r="C71" s="0" t="str">
        <f aca="false">IF($A71="","",INDEX('Master Task List'!$B:$B,$A71))</f>
        <v/>
      </c>
      <c r="D71" s="0" t="str">
        <f aca="false">IF($A71="","",INDEX('Master Task List'!$F:$F,$A71))</f>
        <v/>
      </c>
      <c r="E71" s="39" t="str">
        <f aca="false">IF($A71="","",INDEX('Master Task List'!$G:$G,$A71))</f>
        <v/>
      </c>
      <c r="F71" s="0" t="str">
        <f aca="false">IF($A71="","",INDEX('Master Task List'!$I:$I,$A71))</f>
        <v/>
      </c>
      <c r="G71" s="40" t="str">
        <f aca="false">IF($A71="","",INDEX('Master Task List'!$N:$N,$A71))</f>
        <v/>
      </c>
      <c r="H71" s="38" t="str">
        <f aca="false">IF($A71="","",INDEX('Master Task List'!$L:$L,$A71))</f>
        <v/>
      </c>
      <c r="I71" s="0" t="str">
        <f aca="false">IF($A71="","",INDEX('Master Task List'!$P:$P,$A71))</f>
        <v/>
      </c>
    </row>
    <row r="72" customFormat="false" ht="15" hidden="false" customHeight="false" outlineLevel="0" collapsed="false">
      <c r="A72" s="0" t="str">
        <f aca="false">IFERROR(SMALL('Master Task List'!$U$2:$U$600,71),"")</f>
        <v/>
      </c>
      <c r="B72" s="0" t="str">
        <f aca="false">IF($A72="","",INDEX('Master Task List'!$D:$D,$A72))</f>
        <v/>
      </c>
      <c r="C72" s="0" t="str">
        <f aca="false">IF($A72="","",INDEX('Master Task List'!$B:$B,$A72))</f>
        <v/>
      </c>
      <c r="D72" s="0" t="str">
        <f aca="false">IF($A72="","",INDEX('Master Task List'!$F:$F,$A72))</f>
        <v/>
      </c>
      <c r="E72" s="39" t="str">
        <f aca="false">IF($A72="","",INDEX('Master Task List'!$G:$G,$A72))</f>
        <v/>
      </c>
      <c r="F72" s="0" t="str">
        <f aca="false">IF($A72="","",INDEX('Master Task List'!$I:$I,$A72))</f>
        <v/>
      </c>
      <c r="G72" s="40" t="str">
        <f aca="false">IF($A72="","",INDEX('Master Task List'!$N:$N,$A72))</f>
        <v/>
      </c>
      <c r="H72" s="38" t="str">
        <f aca="false">IF($A72="","",INDEX('Master Task List'!$L:$L,$A72))</f>
        <v/>
      </c>
      <c r="I72" s="0" t="str">
        <f aca="false">IF($A72="","",INDEX('Master Task List'!$P:$P,$A72))</f>
        <v/>
      </c>
    </row>
    <row r="73" customFormat="false" ht="15" hidden="false" customHeight="false" outlineLevel="0" collapsed="false">
      <c r="A73" s="0" t="str">
        <f aca="false">IFERROR(SMALL('Master Task List'!$U$2:$U$600,72),"")</f>
        <v/>
      </c>
      <c r="B73" s="0" t="str">
        <f aca="false">IF($A73="","",INDEX('Master Task List'!$D:$D,$A73))</f>
        <v/>
      </c>
      <c r="C73" s="0" t="str">
        <f aca="false">IF($A73="","",INDEX('Master Task List'!$B:$B,$A73))</f>
        <v/>
      </c>
      <c r="D73" s="0" t="str">
        <f aca="false">IF($A73="","",INDEX('Master Task List'!$F:$F,$A73))</f>
        <v/>
      </c>
      <c r="E73" s="39" t="str">
        <f aca="false">IF($A73="","",INDEX('Master Task List'!$G:$G,$A73))</f>
        <v/>
      </c>
      <c r="F73" s="0" t="str">
        <f aca="false">IF($A73="","",INDEX('Master Task List'!$I:$I,$A73))</f>
        <v/>
      </c>
      <c r="G73" s="40" t="str">
        <f aca="false">IF($A73="","",INDEX('Master Task List'!$N:$N,$A73))</f>
        <v/>
      </c>
      <c r="H73" s="38" t="str">
        <f aca="false">IF($A73="","",INDEX('Master Task List'!$L:$L,$A73))</f>
        <v/>
      </c>
      <c r="I73" s="0" t="str">
        <f aca="false">IF($A73="","",INDEX('Master Task List'!$P:$P,$A73))</f>
        <v/>
      </c>
    </row>
    <row r="74" customFormat="false" ht="15" hidden="false" customHeight="false" outlineLevel="0" collapsed="false">
      <c r="A74" s="0" t="str">
        <f aca="false">IFERROR(SMALL('Master Task List'!$U$2:$U$600,73),"")</f>
        <v/>
      </c>
      <c r="B74" s="0" t="str">
        <f aca="false">IF($A74="","",INDEX('Master Task List'!$D:$D,$A74))</f>
        <v/>
      </c>
      <c r="C74" s="0" t="str">
        <f aca="false">IF($A74="","",INDEX('Master Task List'!$B:$B,$A74))</f>
        <v/>
      </c>
      <c r="D74" s="0" t="str">
        <f aca="false">IF($A74="","",INDEX('Master Task List'!$F:$F,$A74))</f>
        <v/>
      </c>
      <c r="E74" s="39" t="str">
        <f aca="false">IF($A74="","",INDEX('Master Task List'!$G:$G,$A74))</f>
        <v/>
      </c>
      <c r="F74" s="0" t="str">
        <f aca="false">IF($A74="","",INDEX('Master Task List'!$I:$I,$A74))</f>
        <v/>
      </c>
      <c r="G74" s="40" t="str">
        <f aca="false">IF($A74="","",INDEX('Master Task List'!$N:$N,$A74))</f>
        <v/>
      </c>
      <c r="H74" s="38" t="str">
        <f aca="false">IF($A74="","",INDEX('Master Task List'!$L:$L,$A74))</f>
        <v/>
      </c>
      <c r="I74" s="0" t="str">
        <f aca="false">IF($A74="","",INDEX('Master Task List'!$P:$P,$A74))</f>
        <v/>
      </c>
    </row>
    <row r="75" customFormat="false" ht="15" hidden="false" customHeight="false" outlineLevel="0" collapsed="false">
      <c r="A75" s="0" t="str">
        <f aca="false">IFERROR(SMALL('Master Task List'!$U$2:$U$600,74),"")</f>
        <v/>
      </c>
      <c r="B75" s="0" t="str">
        <f aca="false">IF($A75="","",INDEX('Master Task List'!$D:$D,$A75))</f>
        <v/>
      </c>
      <c r="C75" s="0" t="str">
        <f aca="false">IF($A75="","",INDEX('Master Task List'!$B:$B,$A75))</f>
        <v/>
      </c>
      <c r="D75" s="0" t="str">
        <f aca="false">IF($A75="","",INDEX('Master Task List'!$F:$F,$A75))</f>
        <v/>
      </c>
      <c r="E75" s="39" t="str">
        <f aca="false">IF($A75="","",INDEX('Master Task List'!$G:$G,$A75))</f>
        <v/>
      </c>
      <c r="F75" s="0" t="str">
        <f aca="false">IF($A75="","",INDEX('Master Task List'!$I:$I,$A75))</f>
        <v/>
      </c>
      <c r="G75" s="40" t="str">
        <f aca="false">IF($A75="","",INDEX('Master Task List'!$N:$N,$A75))</f>
        <v/>
      </c>
      <c r="H75" s="38" t="str">
        <f aca="false">IF($A75="","",INDEX('Master Task List'!$L:$L,$A75))</f>
        <v/>
      </c>
      <c r="I75" s="0" t="str">
        <f aca="false">IF($A75="","",INDEX('Master Task List'!$P:$P,$A75))</f>
        <v/>
      </c>
    </row>
    <row r="76" customFormat="false" ht="15" hidden="false" customHeight="false" outlineLevel="0" collapsed="false">
      <c r="A76" s="0" t="str">
        <f aca="false">IFERROR(SMALL('Master Task List'!$U$2:$U$600,75),"")</f>
        <v/>
      </c>
      <c r="B76" s="0" t="str">
        <f aca="false">IF($A76="","",INDEX('Master Task List'!$D:$D,$A76))</f>
        <v/>
      </c>
      <c r="C76" s="0" t="str">
        <f aca="false">IF($A76="","",INDEX('Master Task List'!$B:$B,$A76))</f>
        <v/>
      </c>
      <c r="D76" s="0" t="str">
        <f aca="false">IF($A76="","",INDEX('Master Task List'!$F:$F,$A76))</f>
        <v/>
      </c>
      <c r="E76" s="39" t="str">
        <f aca="false">IF($A76="","",INDEX('Master Task List'!$G:$G,$A76))</f>
        <v/>
      </c>
      <c r="F76" s="0" t="str">
        <f aca="false">IF($A76="","",INDEX('Master Task List'!$I:$I,$A76))</f>
        <v/>
      </c>
      <c r="G76" s="40" t="str">
        <f aca="false">IF($A76="","",INDEX('Master Task List'!$N:$N,$A76))</f>
        <v/>
      </c>
      <c r="H76" s="38" t="str">
        <f aca="false">IF($A76="","",INDEX('Master Task List'!$L:$L,$A76))</f>
        <v/>
      </c>
      <c r="I76" s="0" t="str">
        <f aca="false">IF($A76="","",INDEX('Master Task List'!$P:$P,$A76))</f>
        <v/>
      </c>
    </row>
    <row r="77" customFormat="false" ht="15" hidden="false" customHeight="false" outlineLevel="0" collapsed="false">
      <c r="A77" s="0" t="str">
        <f aca="false">IFERROR(SMALL('Master Task List'!$U$2:$U$600,76),"")</f>
        <v/>
      </c>
      <c r="B77" s="0" t="str">
        <f aca="false">IF($A77="","",INDEX('Master Task List'!$D:$D,$A77))</f>
        <v/>
      </c>
      <c r="C77" s="0" t="str">
        <f aca="false">IF($A77="","",INDEX('Master Task List'!$B:$B,$A77))</f>
        <v/>
      </c>
      <c r="D77" s="0" t="str">
        <f aca="false">IF($A77="","",INDEX('Master Task List'!$F:$F,$A77))</f>
        <v/>
      </c>
      <c r="E77" s="39" t="str">
        <f aca="false">IF($A77="","",INDEX('Master Task List'!$G:$G,$A77))</f>
        <v/>
      </c>
      <c r="F77" s="0" t="str">
        <f aca="false">IF($A77="","",INDEX('Master Task List'!$I:$I,$A77))</f>
        <v/>
      </c>
      <c r="G77" s="40" t="str">
        <f aca="false">IF($A77="","",INDEX('Master Task List'!$N:$N,$A77))</f>
        <v/>
      </c>
      <c r="H77" s="38" t="str">
        <f aca="false">IF($A77="","",INDEX('Master Task List'!$L:$L,$A77))</f>
        <v/>
      </c>
      <c r="I77" s="0" t="str">
        <f aca="false">IF($A77="","",INDEX('Master Task List'!$P:$P,$A77))</f>
        <v/>
      </c>
    </row>
    <row r="78" customFormat="false" ht="15" hidden="false" customHeight="false" outlineLevel="0" collapsed="false">
      <c r="A78" s="0" t="str">
        <f aca="false">IFERROR(SMALL('Master Task List'!$U$2:$U$600,77),"")</f>
        <v/>
      </c>
      <c r="B78" s="0" t="str">
        <f aca="false">IF($A78="","",INDEX('Master Task List'!$D:$D,$A78))</f>
        <v/>
      </c>
      <c r="C78" s="0" t="str">
        <f aca="false">IF($A78="","",INDEX('Master Task List'!$B:$B,$A78))</f>
        <v/>
      </c>
      <c r="D78" s="0" t="str">
        <f aca="false">IF($A78="","",INDEX('Master Task List'!$F:$F,$A78))</f>
        <v/>
      </c>
      <c r="E78" s="39" t="str">
        <f aca="false">IF($A78="","",INDEX('Master Task List'!$G:$G,$A78))</f>
        <v/>
      </c>
      <c r="F78" s="0" t="str">
        <f aca="false">IF($A78="","",INDEX('Master Task List'!$I:$I,$A78))</f>
        <v/>
      </c>
      <c r="G78" s="40" t="str">
        <f aca="false">IF($A78="","",INDEX('Master Task List'!$N:$N,$A78))</f>
        <v/>
      </c>
      <c r="H78" s="38" t="str">
        <f aca="false">IF($A78="","",INDEX('Master Task List'!$L:$L,$A78))</f>
        <v/>
      </c>
      <c r="I78" s="0" t="str">
        <f aca="false">IF($A78="","",INDEX('Master Task List'!$P:$P,$A78))</f>
        <v/>
      </c>
    </row>
    <row r="79" customFormat="false" ht="15" hidden="false" customHeight="false" outlineLevel="0" collapsed="false">
      <c r="A79" s="0" t="str">
        <f aca="false">IFERROR(SMALL('Master Task List'!$U$2:$U$600,78),"")</f>
        <v/>
      </c>
      <c r="B79" s="0" t="str">
        <f aca="false">IF($A79="","",INDEX('Master Task List'!$D:$D,$A79))</f>
        <v/>
      </c>
      <c r="C79" s="0" t="str">
        <f aca="false">IF($A79="","",INDEX('Master Task List'!$B:$B,$A79))</f>
        <v/>
      </c>
      <c r="D79" s="0" t="str">
        <f aca="false">IF($A79="","",INDEX('Master Task List'!$F:$F,$A79))</f>
        <v/>
      </c>
      <c r="E79" s="39" t="str">
        <f aca="false">IF($A79="","",INDEX('Master Task List'!$G:$G,$A79))</f>
        <v/>
      </c>
      <c r="F79" s="0" t="str">
        <f aca="false">IF($A79="","",INDEX('Master Task List'!$I:$I,$A79))</f>
        <v/>
      </c>
      <c r="G79" s="40" t="str">
        <f aca="false">IF($A79="","",INDEX('Master Task List'!$N:$N,$A79))</f>
        <v/>
      </c>
      <c r="H79" s="38" t="str">
        <f aca="false">IF($A79="","",INDEX('Master Task List'!$L:$L,$A79))</f>
        <v/>
      </c>
      <c r="I79" s="0" t="str">
        <f aca="false">IF($A79="","",INDEX('Master Task List'!$P:$P,$A79))</f>
        <v/>
      </c>
    </row>
    <row r="80" customFormat="false" ht="15" hidden="false" customHeight="false" outlineLevel="0" collapsed="false">
      <c r="A80" s="0" t="str">
        <f aca="false">IFERROR(SMALL('Master Task List'!$U$2:$U$600,79),"")</f>
        <v/>
      </c>
      <c r="B80" s="0" t="str">
        <f aca="false">IF($A80="","",INDEX('Master Task List'!$D:$D,$A80))</f>
        <v/>
      </c>
      <c r="C80" s="0" t="str">
        <f aca="false">IF($A80="","",INDEX('Master Task List'!$B:$B,$A80))</f>
        <v/>
      </c>
      <c r="D80" s="0" t="str">
        <f aca="false">IF($A80="","",INDEX('Master Task List'!$F:$F,$A80))</f>
        <v/>
      </c>
      <c r="E80" s="39" t="str">
        <f aca="false">IF($A80="","",INDEX('Master Task List'!$G:$G,$A80))</f>
        <v/>
      </c>
      <c r="F80" s="0" t="str">
        <f aca="false">IF($A80="","",INDEX('Master Task List'!$I:$I,$A80))</f>
        <v/>
      </c>
      <c r="G80" s="40" t="str">
        <f aca="false">IF($A80="","",INDEX('Master Task List'!$N:$N,$A80))</f>
        <v/>
      </c>
      <c r="H80" s="38" t="str">
        <f aca="false">IF($A80="","",INDEX('Master Task List'!$L:$L,$A80))</f>
        <v/>
      </c>
      <c r="I80" s="0" t="str">
        <f aca="false">IF($A80="","",INDEX('Master Task List'!$P:$P,$A80))</f>
        <v/>
      </c>
    </row>
    <row r="81" customFormat="false" ht="15" hidden="false" customHeight="false" outlineLevel="0" collapsed="false">
      <c r="A81" s="0" t="str">
        <f aca="false">IFERROR(SMALL('Master Task List'!$U$2:$U$600,80),"")</f>
        <v/>
      </c>
      <c r="B81" s="0" t="str">
        <f aca="false">IF($A81="","",INDEX('Master Task List'!$D:$D,$A81))</f>
        <v/>
      </c>
      <c r="C81" s="0" t="str">
        <f aca="false">IF($A81="","",INDEX('Master Task List'!$B:$B,$A81))</f>
        <v/>
      </c>
      <c r="D81" s="0" t="str">
        <f aca="false">IF($A81="","",INDEX('Master Task List'!$F:$F,$A81))</f>
        <v/>
      </c>
      <c r="E81" s="39" t="str">
        <f aca="false">IF($A81="","",INDEX('Master Task List'!$G:$G,$A81))</f>
        <v/>
      </c>
      <c r="F81" s="0" t="str">
        <f aca="false">IF($A81="","",INDEX('Master Task List'!$I:$I,$A81))</f>
        <v/>
      </c>
      <c r="G81" s="40" t="str">
        <f aca="false">IF($A81="","",INDEX('Master Task List'!$N:$N,$A81))</f>
        <v/>
      </c>
      <c r="H81" s="38" t="str">
        <f aca="false">IF($A81="","",INDEX('Master Task List'!$L:$L,$A81))</f>
        <v/>
      </c>
      <c r="I81" s="0" t="str">
        <f aca="false">IF($A81="","",INDEX('Master Task List'!$P:$P,$A81))</f>
        <v/>
      </c>
    </row>
    <row r="82" customFormat="false" ht="15" hidden="false" customHeight="false" outlineLevel="0" collapsed="false">
      <c r="A82" s="0" t="str">
        <f aca="false">IFERROR(SMALL('Master Task List'!$U$2:$U$600,81),"")</f>
        <v/>
      </c>
      <c r="B82" s="0" t="str">
        <f aca="false">IF($A82="","",INDEX('Master Task List'!$D:$D,$A82))</f>
        <v/>
      </c>
      <c r="C82" s="0" t="str">
        <f aca="false">IF($A82="","",INDEX('Master Task List'!$B:$B,$A82))</f>
        <v/>
      </c>
      <c r="D82" s="0" t="str">
        <f aca="false">IF($A82="","",INDEX('Master Task List'!$F:$F,$A82))</f>
        <v/>
      </c>
      <c r="E82" s="39" t="str">
        <f aca="false">IF($A82="","",INDEX('Master Task List'!$G:$G,$A82))</f>
        <v/>
      </c>
      <c r="F82" s="0" t="str">
        <f aca="false">IF($A82="","",INDEX('Master Task List'!$I:$I,$A82))</f>
        <v/>
      </c>
      <c r="G82" s="40" t="str">
        <f aca="false">IF($A82="","",INDEX('Master Task List'!$N:$N,$A82))</f>
        <v/>
      </c>
      <c r="H82" s="38" t="str">
        <f aca="false">IF($A82="","",INDEX('Master Task List'!$L:$L,$A82))</f>
        <v/>
      </c>
      <c r="I82" s="0" t="str">
        <f aca="false">IF($A82="","",INDEX('Master Task List'!$P:$P,$A82))</f>
        <v/>
      </c>
    </row>
    <row r="83" customFormat="false" ht="15" hidden="false" customHeight="false" outlineLevel="0" collapsed="false">
      <c r="A83" s="0" t="str">
        <f aca="false">IFERROR(SMALL('Master Task List'!$U$2:$U$600,82),"")</f>
        <v/>
      </c>
      <c r="B83" s="0" t="str">
        <f aca="false">IF($A83="","",INDEX('Master Task List'!$D:$D,$A83))</f>
        <v/>
      </c>
      <c r="C83" s="0" t="str">
        <f aca="false">IF($A83="","",INDEX('Master Task List'!$B:$B,$A83))</f>
        <v/>
      </c>
      <c r="D83" s="0" t="str">
        <f aca="false">IF($A83="","",INDEX('Master Task List'!$F:$F,$A83))</f>
        <v/>
      </c>
      <c r="E83" s="39" t="str">
        <f aca="false">IF($A83="","",INDEX('Master Task List'!$G:$G,$A83))</f>
        <v/>
      </c>
      <c r="F83" s="0" t="str">
        <f aca="false">IF($A83="","",INDEX('Master Task List'!$I:$I,$A83))</f>
        <v/>
      </c>
      <c r="G83" s="40" t="str">
        <f aca="false">IF($A83="","",INDEX('Master Task List'!$N:$N,$A83))</f>
        <v/>
      </c>
      <c r="H83" s="38" t="str">
        <f aca="false">IF($A83="","",INDEX('Master Task List'!$L:$L,$A83))</f>
        <v/>
      </c>
      <c r="I83" s="0" t="str">
        <f aca="false">IF($A83="","",INDEX('Master Task List'!$P:$P,$A83))</f>
        <v/>
      </c>
    </row>
    <row r="84" customFormat="false" ht="15" hidden="false" customHeight="false" outlineLevel="0" collapsed="false">
      <c r="A84" s="0" t="str">
        <f aca="false">IFERROR(SMALL('Master Task List'!$U$2:$U$600,83),"")</f>
        <v/>
      </c>
      <c r="B84" s="0" t="str">
        <f aca="false">IF($A84="","",INDEX('Master Task List'!$D:$D,$A84))</f>
        <v/>
      </c>
      <c r="C84" s="0" t="str">
        <f aca="false">IF($A84="","",INDEX('Master Task List'!$B:$B,$A84))</f>
        <v/>
      </c>
      <c r="D84" s="0" t="str">
        <f aca="false">IF($A84="","",INDEX('Master Task List'!$F:$F,$A84))</f>
        <v/>
      </c>
      <c r="E84" s="39" t="str">
        <f aca="false">IF($A84="","",INDEX('Master Task List'!$G:$G,$A84))</f>
        <v/>
      </c>
      <c r="F84" s="0" t="str">
        <f aca="false">IF($A84="","",INDEX('Master Task List'!$I:$I,$A84))</f>
        <v/>
      </c>
      <c r="G84" s="40" t="str">
        <f aca="false">IF($A84="","",INDEX('Master Task List'!$N:$N,$A84))</f>
        <v/>
      </c>
      <c r="H84" s="38" t="str">
        <f aca="false">IF($A84="","",INDEX('Master Task List'!$L:$L,$A84))</f>
        <v/>
      </c>
      <c r="I84" s="0" t="str">
        <f aca="false">IF($A84="","",INDEX('Master Task List'!$P:$P,$A84))</f>
        <v/>
      </c>
    </row>
    <row r="85" customFormat="false" ht="15" hidden="false" customHeight="false" outlineLevel="0" collapsed="false">
      <c r="A85" s="0" t="str">
        <f aca="false">IFERROR(SMALL('Master Task List'!$U$2:$U$600,84),"")</f>
        <v/>
      </c>
      <c r="B85" s="0" t="str">
        <f aca="false">IF($A85="","",INDEX('Master Task List'!$D:$D,$A85))</f>
        <v/>
      </c>
      <c r="C85" s="0" t="str">
        <f aca="false">IF($A85="","",INDEX('Master Task List'!$B:$B,$A85))</f>
        <v/>
      </c>
      <c r="D85" s="0" t="str">
        <f aca="false">IF($A85="","",INDEX('Master Task List'!$F:$F,$A85))</f>
        <v/>
      </c>
      <c r="E85" s="39" t="str">
        <f aca="false">IF($A85="","",INDEX('Master Task List'!$G:$G,$A85))</f>
        <v/>
      </c>
      <c r="F85" s="0" t="str">
        <f aca="false">IF($A85="","",INDEX('Master Task List'!$I:$I,$A85))</f>
        <v/>
      </c>
      <c r="G85" s="40" t="str">
        <f aca="false">IF($A85="","",INDEX('Master Task List'!$N:$N,$A85))</f>
        <v/>
      </c>
      <c r="H85" s="38" t="str">
        <f aca="false">IF($A85="","",INDEX('Master Task List'!$L:$L,$A85))</f>
        <v/>
      </c>
      <c r="I85" s="0" t="str">
        <f aca="false">IF($A85="","",INDEX('Master Task List'!$P:$P,$A85))</f>
        <v/>
      </c>
    </row>
    <row r="86" customFormat="false" ht="15" hidden="false" customHeight="false" outlineLevel="0" collapsed="false">
      <c r="A86" s="0" t="str">
        <f aca="false">IFERROR(SMALL('Master Task List'!$U$2:$U$600,85),"")</f>
        <v/>
      </c>
      <c r="B86" s="0" t="str">
        <f aca="false">IF($A86="","",INDEX('Master Task List'!$D:$D,$A86))</f>
        <v/>
      </c>
      <c r="C86" s="0" t="str">
        <f aca="false">IF($A86="","",INDEX('Master Task List'!$B:$B,$A86))</f>
        <v/>
      </c>
      <c r="D86" s="0" t="str">
        <f aca="false">IF($A86="","",INDEX('Master Task List'!$F:$F,$A86))</f>
        <v/>
      </c>
      <c r="E86" s="39" t="str">
        <f aca="false">IF($A86="","",INDEX('Master Task List'!$G:$G,$A86))</f>
        <v/>
      </c>
      <c r="F86" s="0" t="str">
        <f aca="false">IF($A86="","",INDEX('Master Task List'!$I:$I,$A86))</f>
        <v/>
      </c>
      <c r="G86" s="40" t="str">
        <f aca="false">IF($A86="","",INDEX('Master Task List'!$N:$N,$A86))</f>
        <v/>
      </c>
      <c r="H86" s="38" t="str">
        <f aca="false">IF($A86="","",INDEX('Master Task List'!$L:$L,$A86))</f>
        <v/>
      </c>
      <c r="I86" s="0" t="str">
        <f aca="false">IF($A86="","",INDEX('Master Task List'!$P:$P,$A86))</f>
        <v/>
      </c>
    </row>
    <row r="87" customFormat="false" ht="15" hidden="false" customHeight="false" outlineLevel="0" collapsed="false">
      <c r="A87" s="0" t="str">
        <f aca="false">IFERROR(SMALL('Master Task List'!$U$2:$U$600,86),"")</f>
        <v/>
      </c>
      <c r="B87" s="0" t="str">
        <f aca="false">IF($A87="","",INDEX('Master Task List'!$D:$D,$A87))</f>
        <v/>
      </c>
      <c r="C87" s="0" t="str">
        <f aca="false">IF($A87="","",INDEX('Master Task List'!$B:$B,$A87))</f>
        <v/>
      </c>
      <c r="D87" s="0" t="str">
        <f aca="false">IF($A87="","",INDEX('Master Task List'!$F:$F,$A87))</f>
        <v/>
      </c>
      <c r="E87" s="39" t="str">
        <f aca="false">IF($A87="","",INDEX('Master Task List'!$G:$G,$A87))</f>
        <v/>
      </c>
      <c r="F87" s="0" t="str">
        <f aca="false">IF($A87="","",INDEX('Master Task List'!$I:$I,$A87))</f>
        <v/>
      </c>
      <c r="G87" s="40" t="str">
        <f aca="false">IF($A87="","",INDEX('Master Task List'!$N:$N,$A87))</f>
        <v/>
      </c>
      <c r="H87" s="38" t="str">
        <f aca="false">IF($A87="","",INDEX('Master Task List'!$L:$L,$A87))</f>
        <v/>
      </c>
      <c r="I87" s="0" t="str">
        <f aca="false">IF($A87="","",INDEX('Master Task List'!$P:$P,$A87))</f>
        <v/>
      </c>
    </row>
    <row r="88" customFormat="false" ht="15" hidden="false" customHeight="false" outlineLevel="0" collapsed="false">
      <c r="A88" s="0" t="str">
        <f aca="false">IFERROR(SMALL('Master Task List'!$U$2:$U$600,87),"")</f>
        <v/>
      </c>
      <c r="B88" s="0" t="str">
        <f aca="false">IF($A88="","",INDEX('Master Task List'!$D:$D,$A88))</f>
        <v/>
      </c>
      <c r="C88" s="0" t="str">
        <f aca="false">IF($A88="","",INDEX('Master Task List'!$B:$B,$A88))</f>
        <v/>
      </c>
      <c r="D88" s="0" t="str">
        <f aca="false">IF($A88="","",INDEX('Master Task List'!$F:$F,$A88))</f>
        <v/>
      </c>
      <c r="E88" s="39" t="str">
        <f aca="false">IF($A88="","",INDEX('Master Task List'!$G:$G,$A88))</f>
        <v/>
      </c>
      <c r="F88" s="0" t="str">
        <f aca="false">IF($A88="","",INDEX('Master Task List'!$I:$I,$A88))</f>
        <v/>
      </c>
      <c r="G88" s="40" t="str">
        <f aca="false">IF($A88="","",INDEX('Master Task List'!$N:$N,$A88))</f>
        <v/>
      </c>
      <c r="H88" s="38" t="str">
        <f aca="false">IF($A88="","",INDEX('Master Task List'!$L:$L,$A88))</f>
        <v/>
      </c>
      <c r="I88" s="0" t="str">
        <f aca="false">IF($A88="","",INDEX('Master Task List'!$P:$P,$A88))</f>
        <v/>
      </c>
    </row>
    <row r="89" customFormat="false" ht="15" hidden="false" customHeight="false" outlineLevel="0" collapsed="false">
      <c r="A89" s="0" t="str">
        <f aca="false">IFERROR(SMALL('Master Task List'!$U$2:$U$600,88),"")</f>
        <v/>
      </c>
      <c r="B89" s="0" t="str">
        <f aca="false">IF($A89="","",INDEX('Master Task List'!$D:$D,$A89))</f>
        <v/>
      </c>
      <c r="C89" s="0" t="str">
        <f aca="false">IF($A89="","",INDEX('Master Task List'!$B:$B,$A89))</f>
        <v/>
      </c>
      <c r="D89" s="0" t="str">
        <f aca="false">IF($A89="","",INDEX('Master Task List'!$F:$F,$A89))</f>
        <v/>
      </c>
      <c r="E89" s="39" t="str">
        <f aca="false">IF($A89="","",INDEX('Master Task List'!$G:$G,$A89))</f>
        <v/>
      </c>
      <c r="F89" s="0" t="str">
        <f aca="false">IF($A89="","",INDEX('Master Task List'!$I:$I,$A89))</f>
        <v/>
      </c>
      <c r="G89" s="40" t="str">
        <f aca="false">IF($A89="","",INDEX('Master Task List'!$N:$N,$A89))</f>
        <v/>
      </c>
      <c r="H89" s="38" t="str">
        <f aca="false">IF($A89="","",INDEX('Master Task List'!$L:$L,$A89))</f>
        <v/>
      </c>
      <c r="I89" s="0" t="str">
        <f aca="false">IF($A89="","",INDEX('Master Task List'!$P:$P,$A89))</f>
        <v/>
      </c>
    </row>
    <row r="90" customFormat="false" ht="15" hidden="false" customHeight="false" outlineLevel="0" collapsed="false">
      <c r="A90" s="0" t="str">
        <f aca="false">IFERROR(SMALL('Master Task List'!$U$2:$U$600,89),"")</f>
        <v/>
      </c>
      <c r="B90" s="0" t="str">
        <f aca="false">IF($A90="","",INDEX('Master Task List'!$D:$D,$A90))</f>
        <v/>
      </c>
      <c r="C90" s="0" t="str">
        <f aca="false">IF($A90="","",INDEX('Master Task List'!$B:$B,$A90))</f>
        <v/>
      </c>
      <c r="D90" s="0" t="str">
        <f aca="false">IF($A90="","",INDEX('Master Task List'!$F:$F,$A90))</f>
        <v/>
      </c>
      <c r="E90" s="39" t="str">
        <f aca="false">IF($A90="","",INDEX('Master Task List'!$G:$G,$A90))</f>
        <v/>
      </c>
      <c r="F90" s="0" t="str">
        <f aca="false">IF($A90="","",INDEX('Master Task List'!$I:$I,$A90))</f>
        <v/>
      </c>
      <c r="G90" s="40" t="str">
        <f aca="false">IF($A90="","",INDEX('Master Task List'!$N:$N,$A90))</f>
        <v/>
      </c>
      <c r="H90" s="38" t="str">
        <f aca="false">IF($A90="","",INDEX('Master Task List'!$L:$L,$A90))</f>
        <v/>
      </c>
      <c r="I90" s="0" t="str">
        <f aca="false">IF($A90="","",INDEX('Master Task List'!$P:$P,$A90))</f>
        <v/>
      </c>
    </row>
    <row r="91" customFormat="false" ht="15" hidden="false" customHeight="false" outlineLevel="0" collapsed="false">
      <c r="A91" s="0" t="str">
        <f aca="false">IFERROR(SMALL('Master Task List'!$U$2:$U$600,90),"")</f>
        <v/>
      </c>
      <c r="B91" s="0" t="str">
        <f aca="false">IF($A91="","",INDEX('Master Task List'!$D:$D,$A91))</f>
        <v/>
      </c>
      <c r="C91" s="0" t="str">
        <f aca="false">IF($A91="","",INDEX('Master Task List'!$B:$B,$A91))</f>
        <v/>
      </c>
      <c r="D91" s="0" t="str">
        <f aca="false">IF($A91="","",INDEX('Master Task List'!$F:$F,$A91))</f>
        <v/>
      </c>
      <c r="E91" s="39" t="str">
        <f aca="false">IF($A91="","",INDEX('Master Task List'!$G:$G,$A91))</f>
        <v/>
      </c>
      <c r="F91" s="0" t="str">
        <f aca="false">IF($A91="","",INDEX('Master Task List'!$I:$I,$A91))</f>
        <v/>
      </c>
      <c r="G91" s="40" t="str">
        <f aca="false">IF($A91="","",INDEX('Master Task List'!$N:$N,$A91))</f>
        <v/>
      </c>
      <c r="H91" s="38" t="str">
        <f aca="false">IF($A91="","",INDEX('Master Task List'!$L:$L,$A91))</f>
        <v/>
      </c>
      <c r="I91" s="0" t="str">
        <f aca="false">IF($A91="","",INDEX('Master Task List'!$P:$P,$A91))</f>
        <v/>
      </c>
    </row>
    <row r="92" customFormat="false" ht="15" hidden="false" customHeight="false" outlineLevel="0" collapsed="false">
      <c r="A92" s="0" t="str">
        <f aca="false">IFERROR(SMALL('Master Task List'!$U$2:$U$600,91),"")</f>
        <v/>
      </c>
      <c r="B92" s="0" t="str">
        <f aca="false">IF($A92="","",INDEX('Master Task List'!$D:$D,$A92))</f>
        <v/>
      </c>
      <c r="C92" s="0" t="str">
        <f aca="false">IF($A92="","",INDEX('Master Task List'!$B:$B,$A92))</f>
        <v/>
      </c>
      <c r="D92" s="0" t="str">
        <f aca="false">IF($A92="","",INDEX('Master Task List'!$F:$F,$A92))</f>
        <v/>
      </c>
      <c r="E92" s="39" t="str">
        <f aca="false">IF($A92="","",INDEX('Master Task List'!$G:$G,$A92))</f>
        <v/>
      </c>
      <c r="F92" s="0" t="str">
        <f aca="false">IF($A92="","",INDEX('Master Task List'!$I:$I,$A92))</f>
        <v/>
      </c>
      <c r="G92" s="40" t="str">
        <f aca="false">IF($A92="","",INDEX('Master Task List'!$N:$N,$A92))</f>
        <v/>
      </c>
      <c r="H92" s="38" t="str">
        <f aca="false">IF($A92="","",INDEX('Master Task List'!$L:$L,$A92))</f>
        <v/>
      </c>
      <c r="I92" s="0" t="str">
        <f aca="false">IF($A92="","",INDEX('Master Task List'!$P:$P,$A92))</f>
        <v/>
      </c>
    </row>
    <row r="93" customFormat="false" ht="15" hidden="false" customHeight="false" outlineLevel="0" collapsed="false">
      <c r="A93" s="0" t="str">
        <f aca="false">IFERROR(SMALL('Master Task List'!$U$2:$U$600,92),"")</f>
        <v/>
      </c>
      <c r="B93" s="0" t="str">
        <f aca="false">IF($A93="","",INDEX('Master Task List'!$D:$D,$A93))</f>
        <v/>
      </c>
      <c r="C93" s="0" t="str">
        <f aca="false">IF($A93="","",INDEX('Master Task List'!$B:$B,$A93))</f>
        <v/>
      </c>
      <c r="D93" s="0" t="str">
        <f aca="false">IF($A93="","",INDEX('Master Task List'!$F:$F,$A93))</f>
        <v/>
      </c>
      <c r="E93" s="39" t="str">
        <f aca="false">IF($A93="","",INDEX('Master Task List'!$G:$G,$A93))</f>
        <v/>
      </c>
      <c r="F93" s="0" t="str">
        <f aca="false">IF($A93="","",INDEX('Master Task List'!$I:$I,$A93))</f>
        <v/>
      </c>
      <c r="G93" s="40" t="str">
        <f aca="false">IF($A93="","",INDEX('Master Task List'!$N:$N,$A93))</f>
        <v/>
      </c>
      <c r="H93" s="38" t="str">
        <f aca="false">IF($A93="","",INDEX('Master Task List'!$L:$L,$A93))</f>
        <v/>
      </c>
      <c r="I93" s="0" t="str">
        <f aca="false">IF($A93="","",INDEX('Master Task List'!$P:$P,$A93))</f>
        <v/>
      </c>
    </row>
    <row r="94" customFormat="false" ht="15" hidden="false" customHeight="false" outlineLevel="0" collapsed="false">
      <c r="A94" s="0" t="str">
        <f aca="false">IFERROR(SMALL('Master Task List'!$U$2:$U$600,93),"")</f>
        <v/>
      </c>
      <c r="B94" s="0" t="str">
        <f aca="false">IF($A94="","",INDEX('Master Task List'!$D:$D,$A94))</f>
        <v/>
      </c>
      <c r="C94" s="0" t="str">
        <f aca="false">IF($A94="","",INDEX('Master Task List'!$B:$B,$A94))</f>
        <v/>
      </c>
      <c r="D94" s="0" t="str">
        <f aca="false">IF($A94="","",INDEX('Master Task List'!$F:$F,$A94))</f>
        <v/>
      </c>
      <c r="E94" s="39" t="str">
        <f aca="false">IF($A94="","",INDEX('Master Task List'!$G:$G,$A94))</f>
        <v/>
      </c>
      <c r="F94" s="0" t="str">
        <f aca="false">IF($A94="","",INDEX('Master Task List'!$I:$I,$A94))</f>
        <v/>
      </c>
      <c r="G94" s="40" t="str">
        <f aca="false">IF($A94="","",INDEX('Master Task List'!$N:$N,$A94))</f>
        <v/>
      </c>
      <c r="H94" s="38" t="str">
        <f aca="false">IF($A94="","",INDEX('Master Task List'!$L:$L,$A94))</f>
        <v/>
      </c>
      <c r="I94" s="0" t="str">
        <f aca="false">IF($A94="","",INDEX('Master Task List'!$P:$P,$A94))</f>
        <v/>
      </c>
    </row>
    <row r="95" customFormat="false" ht="15" hidden="false" customHeight="false" outlineLevel="0" collapsed="false">
      <c r="A95" s="0" t="str">
        <f aca="false">IFERROR(SMALL('Master Task List'!$U$2:$U$600,94),"")</f>
        <v/>
      </c>
      <c r="B95" s="0" t="str">
        <f aca="false">IF($A95="","",INDEX('Master Task List'!$D:$D,$A95))</f>
        <v/>
      </c>
      <c r="C95" s="0" t="str">
        <f aca="false">IF($A95="","",INDEX('Master Task List'!$B:$B,$A95))</f>
        <v/>
      </c>
      <c r="D95" s="0" t="str">
        <f aca="false">IF($A95="","",INDEX('Master Task List'!$F:$F,$A95))</f>
        <v/>
      </c>
      <c r="E95" s="39" t="str">
        <f aca="false">IF($A95="","",INDEX('Master Task List'!$G:$G,$A95))</f>
        <v/>
      </c>
      <c r="F95" s="0" t="str">
        <f aca="false">IF($A95="","",INDEX('Master Task List'!$I:$I,$A95))</f>
        <v/>
      </c>
      <c r="G95" s="40" t="str">
        <f aca="false">IF($A95="","",INDEX('Master Task List'!$N:$N,$A95))</f>
        <v/>
      </c>
      <c r="H95" s="38" t="str">
        <f aca="false">IF($A95="","",INDEX('Master Task List'!$L:$L,$A95))</f>
        <v/>
      </c>
      <c r="I95" s="0" t="str">
        <f aca="false">IF($A95="","",INDEX('Master Task List'!$P:$P,$A95))</f>
        <v/>
      </c>
    </row>
    <row r="96" customFormat="false" ht="15" hidden="false" customHeight="false" outlineLevel="0" collapsed="false">
      <c r="A96" s="0" t="str">
        <f aca="false">IFERROR(SMALL('Master Task List'!$U$2:$U$600,95),"")</f>
        <v/>
      </c>
      <c r="B96" s="0" t="str">
        <f aca="false">IF($A96="","",INDEX('Master Task List'!$D:$D,$A96))</f>
        <v/>
      </c>
      <c r="C96" s="0" t="str">
        <f aca="false">IF($A96="","",INDEX('Master Task List'!$B:$B,$A96))</f>
        <v/>
      </c>
      <c r="D96" s="0" t="str">
        <f aca="false">IF($A96="","",INDEX('Master Task List'!$F:$F,$A96))</f>
        <v/>
      </c>
      <c r="E96" s="39" t="str">
        <f aca="false">IF($A96="","",INDEX('Master Task List'!$G:$G,$A96))</f>
        <v/>
      </c>
      <c r="F96" s="0" t="str">
        <f aca="false">IF($A96="","",INDEX('Master Task List'!$I:$I,$A96))</f>
        <v/>
      </c>
      <c r="G96" s="40" t="str">
        <f aca="false">IF($A96="","",INDEX('Master Task List'!$N:$N,$A96))</f>
        <v/>
      </c>
      <c r="H96" s="38" t="str">
        <f aca="false">IF($A96="","",INDEX('Master Task List'!$L:$L,$A96))</f>
        <v/>
      </c>
      <c r="I96" s="0" t="str">
        <f aca="false">IF($A96="","",INDEX('Master Task List'!$P:$P,$A96))</f>
        <v/>
      </c>
    </row>
    <row r="97" customFormat="false" ht="15" hidden="false" customHeight="false" outlineLevel="0" collapsed="false">
      <c r="A97" s="0" t="str">
        <f aca="false">IFERROR(SMALL('Master Task List'!$U$2:$U$600,96),"")</f>
        <v/>
      </c>
      <c r="B97" s="0" t="str">
        <f aca="false">IF($A97="","",INDEX('Master Task List'!$D:$D,$A97))</f>
        <v/>
      </c>
      <c r="C97" s="0" t="str">
        <f aca="false">IF($A97="","",INDEX('Master Task List'!$B:$B,$A97))</f>
        <v/>
      </c>
      <c r="D97" s="0" t="str">
        <f aca="false">IF($A97="","",INDEX('Master Task List'!$F:$F,$A97))</f>
        <v/>
      </c>
      <c r="E97" s="39" t="str">
        <f aca="false">IF($A97="","",INDEX('Master Task List'!$G:$G,$A97))</f>
        <v/>
      </c>
      <c r="F97" s="0" t="str">
        <f aca="false">IF($A97="","",INDEX('Master Task List'!$I:$I,$A97))</f>
        <v/>
      </c>
      <c r="G97" s="40" t="str">
        <f aca="false">IF($A97="","",INDEX('Master Task List'!$N:$N,$A97))</f>
        <v/>
      </c>
      <c r="H97" s="38" t="str">
        <f aca="false">IF($A97="","",INDEX('Master Task List'!$L:$L,$A97))</f>
        <v/>
      </c>
      <c r="I97" s="0" t="str">
        <f aca="false">IF($A97="","",INDEX('Master Task List'!$P:$P,$A97))</f>
        <v/>
      </c>
    </row>
    <row r="98" customFormat="false" ht="15" hidden="false" customHeight="false" outlineLevel="0" collapsed="false">
      <c r="A98" s="0" t="str">
        <f aca="false">IFERROR(SMALL('Master Task List'!$U$2:$U$600,97),"")</f>
        <v/>
      </c>
      <c r="B98" s="0" t="str">
        <f aca="false">IF($A98="","",INDEX('Master Task List'!$D:$D,$A98))</f>
        <v/>
      </c>
      <c r="C98" s="0" t="str">
        <f aca="false">IF($A98="","",INDEX('Master Task List'!$B:$B,$A98))</f>
        <v/>
      </c>
      <c r="D98" s="0" t="str">
        <f aca="false">IF($A98="","",INDEX('Master Task List'!$F:$F,$A98))</f>
        <v/>
      </c>
      <c r="E98" s="39" t="str">
        <f aca="false">IF($A98="","",INDEX('Master Task List'!$G:$G,$A98))</f>
        <v/>
      </c>
      <c r="F98" s="0" t="str">
        <f aca="false">IF($A98="","",INDEX('Master Task List'!$I:$I,$A98))</f>
        <v/>
      </c>
      <c r="G98" s="40" t="str">
        <f aca="false">IF($A98="","",INDEX('Master Task List'!$N:$N,$A98))</f>
        <v/>
      </c>
      <c r="H98" s="38" t="str">
        <f aca="false">IF($A98="","",INDEX('Master Task List'!$L:$L,$A98))</f>
        <v/>
      </c>
      <c r="I98" s="0" t="str">
        <f aca="false">IF($A98="","",INDEX('Master Task List'!$P:$P,$A98))</f>
        <v/>
      </c>
    </row>
    <row r="99" customFormat="false" ht="15" hidden="false" customHeight="false" outlineLevel="0" collapsed="false">
      <c r="A99" s="0" t="str">
        <f aca="false">IFERROR(SMALL('Master Task List'!$U$2:$U$600,98),"")</f>
        <v/>
      </c>
      <c r="B99" s="0" t="str">
        <f aca="false">IF($A99="","",INDEX('Master Task List'!$D:$D,$A99))</f>
        <v/>
      </c>
      <c r="C99" s="0" t="str">
        <f aca="false">IF($A99="","",INDEX('Master Task List'!$B:$B,$A99))</f>
        <v/>
      </c>
      <c r="D99" s="0" t="str">
        <f aca="false">IF($A99="","",INDEX('Master Task List'!$F:$F,$A99))</f>
        <v/>
      </c>
      <c r="E99" s="39" t="str">
        <f aca="false">IF($A99="","",INDEX('Master Task List'!$G:$G,$A99))</f>
        <v/>
      </c>
      <c r="F99" s="0" t="str">
        <f aca="false">IF($A99="","",INDEX('Master Task List'!$I:$I,$A99))</f>
        <v/>
      </c>
      <c r="G99" s="40" t="str">
        <f aca="false">IF($A99="","",INDEX('Master Task List'!$N:$N,$A99))</f>
        <v/>
      </c>
      <c r="H99" s="38" t="str">
        <f aca="false">IF($A99="","",INDEX('Master Task List'!$L:$L,$A99))</f>
        <v/>
      </c>
      <c r="I99" s="0" t="str">
        <f aca="false">IF($A99="","",INDEX('Master Task List'!$P:$P,$A99))</f>
        <v/>
      </c>
    </row>
    <row r="100" customFormat="false" ht="15" hidden="false" customHeight="false" outlineLevel="0" collapsed="false">
      <c r="A100" s="0" t="str">
        <f aca="false">IFERROR(SMALL('Master Task List'!$U$2:$U$600,99),"")</f>
        <v/>
      </c>
      <c r="B100" s="0" t="str">
        <f aca="false">IF($A100="","",INDEX('Master Task List'!$D:$D,$A100))</f>
        <v/>
      </c>
      <c r="C100" s="0" t="str">
        <f aca="false">IF($A100="","",INDEX('Master Task List'!$B:$B,$A100))</f>
        <v/>
      </c>
      <c r="D100" s="0" t="str">
        <f aca="false">IF($A100="","",INDEX('Master Task List'!$F:$F,$A100))</f>
        <v/>
      </c>
      <c r="E100" s="39" t="str">
        <f aca="false">IF($A100="","",INDEX('Master Task List'!$G:$G,$A100))</f>
        <v/>
      </c>
      <c r="F100" s="0" t="str">
        <f aca="false">IF($A100="","",INDEX('Master Task List'!$I:$I,$A100))</f>
        <v/>
      </c>
      <c r="G100" s="40" t="str">
        <f aca="false">IF($A100="","",INDEX('Master Task List'!$N:$N,$A100))</f>
        <v/>
      </c>
      <c r="H100" s="38" t="str">
        <f aca="false">IF($A100="","",INDEX('Master Task List'!$L:$L,$A100))</f>
        <v/>
      </c>
      <c r="I100" s="0" t="str">
        <f aca="false">IF($A100="","",INDEX('Master Task List'!$P:$P,$A100))</f>
        <v/>
      </c>
    </row>
    <row r="101" customFormat="false" ht="15" hidden="false" customHeight="false" outlineLevel="0" collapsed="false">
      <c r="A101" s="0" t="str">
        <f aca="false">IFERROR(SMALL('Master Task List'!$U$2:$U$600,100),"")</f>
        <v/>
      </c>
      <c r="B101" s="0" t="str">
        <f aca="false">IF($A101="","",INDEX('Master Task List'!$D:$D,$A101))</f>
        <v/>
      </c>
      <c r="C101" s="0" t="str">
        <f aca="false">IF($A101="","",INDEX('Master Task List'!$B:$B,$A101))</f>
        <v/>
      </c>
      <c r="D101" s="0" t="str">
        <f aca="false">IF($A101="","",INDEX('Master Task List'!$F:$F,$A101))</f>
        <v/>
      </c>
      <c r="E101" s="39" t="str">
        <f aca="false">IF($A101="","",INDEX('Master Task List'!$G:$G,$A101))</f>
        <v/>
      </c>
      <c r="F101" s="0" t="str">
        <f aca="false">IF($A101="","",INDEX('Master Task List'!$I:$I,$A101))</f>
        <v/>
      </c>
      <c r="G101" s="40" t="str">
        <f aca="false">IF($A101="","",INDEX('Master Task List'!$N:$N,$A101))</f>
        <v/>
      </c>
      <c r="H101" s="38" t="str">
        <f aca="false">IF($A101="","",INDEX('Master Task List'!$L:$L,$A101))</f>
        <v/>
      </c>
      <c r="I101" s="0" t="str">
        <f aca="false">IF($A101="","",INDEX('Master Task List'!$P:$P,$A101))</f>
        <v/>
      </c>
    </row>
    <row r="102" customFormat="false" ht="15" hidden="false" customHeight="false" outlineLevel="0" collapsed="false">
      <c r="A102" s="0" t="str">
        <f aca="false">IFERROR(SMALL('Master Task List'!$U$2:$U$600,101),"")</f>
        <v/>
      </c>
      <c r="B102" s="0" t="str">
        <f aca="false">IF($A102="","",INDEX('Master Task List'!$D:$D,$A102))</f>
        <v/>
      </c>
      <c r="C102" s="0" t="str">
        <f aca="false">IF($A102="","",INDEX('Master Task List'!$B:$B,$A102))</f>
        <v/>
      </c>
      <c r="D102" s="0" t="str">
        <f aca="false">IF($A102="","",INDEX('Master Task List'!$F:$F,$A102))</f>
        <v/>
      </c>
      <c r="E102" s="39" t="str">
        <f aca="false">IF($A102="","",INDEX('Master Task List'!$G:$G,$A102))</f>
        <v/>
      </c>
      <c r="F102" s="0" t="str">
        <f aca="false">IF($A102="","",INDEX('Master Task List'!$I:$I,$A102))</f>
        <v/>
      </c>
      <c r="G102" s="40" t="str">
        <f aca="false">IF($A102="","",INDEX('Master Task List'!$N:$N,$A102))</f>
        <v/>
      </c>
      <c r="H102" s="38" t="str">
        <f aca="false">IF($A102="","",INDEX('Master Task List'!$L:$L,$A102))</f>
        <v/>
      </c>
      <c r="I102" s="0" t="str">
        <f aca="false">IF($A102="","",INDEX('Master Task List'!$P:$P,$A102))</f>
        <v/>
      </c>
    </row>
    <row r="103" customFormat="false" ht="15" hidden="false" customHeight="false" outlineLevel="0" collapsed="false">
      <c r="A103" s="0" t="str">
        <f aca="false">IFERROR(SMALL('Master Task List'!$U$2:$U$600,102),"")</f>
        <v/>
      </c>
      <c r="B103" s="0" t="str">
        <f aca="false">IF($A103="","",INDEX('Master Task List'!$D:$D,$A103))</f>
        <v/>
      </c>
      <c r="C103" s="0" t="str">
        <f aca="false">IF($A103="","",INDEX('Master Task List'!$B:$B,$A103))</f>
        <v/>
      </c>
      <c r="D103" s="0" t="str">
        <f aca="false">IF($A103="","",INDEX('Master Task List'!$F:$F,$A103))</f>
        <v/>
      </c>
      <c r="E103" s="39" t="str">
        <f aca="false">IF($A103="","",INDEX('Master Task List'!$G:$G,$A103))</f>
        <v/>
      </c>
      <c r="F103" s="0" t="str">
        <f aca="false">IF($A103="","",INDEX('Master Task List'!$I:$I,$A103))</f>
        <v/>
      </c>
      <c r="G103" s="40" t="str">
        <f aca="false">IF($A103="","",INDEX('Master Task List'!$N:$N,$A103))</f>
        <v/>
      </c>
      <c r="H103" s="38" t="str">
        <f aca="false">IF($A103="","",INDEX('Master Task List'!$L:$L,$A103))</f>
        <v/>
      </c>
      <c r="I103" s="0" t="str">
        <f aca="false">IF($A103="","",INDEX('Master Task List'!$P:$P,$A103))</f>
        <v/>
      </c>
    </row>
    <row r="104" customFormat="false" ht="15" hidden="false" customHeight="false" outlineLevel="0" collapsed="false">
      <c r="A104" s="0" t="str">
        <f aca="false">IFERROR(SMALL('Master Task List'!$U$2:$U$600,103),"")</f>
        <v/>
      </c>
      <c r="B104" s="0" t="str">
        <f aca="false">IF($A104="","",INDEX('Master Task List'!$D:$D,$A104))</f>
        <v/>
      </c>
      <c r="C104" s="0" t="str">
        <f aca="false">IF($A104="","",INDEX('Master Task List'!$B:$B,$A104))</f>
        <v/>
      </c>
      <c r="D104" s="0" t="str">
        <f aca="false">IF($A104="","",INDEX('Master Task List'!$F:$F,$A104))</f>
        <v/>
      </c>
      <c r="E104" s="39" t="str">
        <f aca="false">IF($A104="","",INDEX('Master Task List'!$G:$G,$A104))</f>
        <v/>
      </c>
      <c r="F104" s="0" t="str">
        <f aca="false">IF($A104="","",INDEX('Master Task List'!$I:$I,$A104))</f>
        <v/>
      </c>
      <c r="G104" s="40" t="str">
        <f aca="false">IF($A104="","",INDEX('Master Task List'!$N:$N,$A104))</f>
        <v/>
      </c>
      <c r="H104" s="38" t="str">
        <f aca="false">IF($A104="","",INDEX('Master Task List'!$L:$L,$A104))</f>
        <v/>
      </c>
      <c r="I104" s="0" t="str">
        <f aca="false">IF($A104="","",INDEX('Master Task List'!$P:$P,$A104))</f>
        <v/>
      </c>
    </row>
    <row r="105" customFormat="false" ht="15" hidden="false" customHeight="false" outlineLevel="0" collapsed="false">
      <c r="A105" s="0" t="str">
        <f aca="false">IFERROR(SMALL('Master Task List'!$U$2:$U$600,104),"")</f>
        <v/>
      </c>
      <c r="B105" s="0" t="str">
        <f aca="false">IF($A105="","",INDEX('Master Task List'!$D:$D,$A105))</f>
        <v/>
      </c>
      <c r="C105" s="0" t="str">
        <f aca="false">IF($A105="","",INDEX('Master Task List'!$B:$B,$A105))</f>
        <v/>
      </c>
      <c r="D105" s="0" t="str">
        <f aca="false">IF($A105="","",INDEX('Master Task List'!$F:$F,$A105))</f>
        <v/>
      </c>
      <c r="E105" s="39" t="str">
        <f aca="false">IF($A105="","",INDEX('Master Task List'!$G:$G,$A105))</f>
        <v/>
      </c>
      <c r="F105" s="0" t="str">
        <f aca="false">IF($A105="","",INDEX('Master Task List'!$I:$I,$A105))</f>
        <v/>
      </c>
      <c r="G105" s="40" t="str">
        <f aca="false">IF($A105="","",INDEX('Master Task List'!$N:$N,$A105))</f>
        <v/>
      </c>
      <c r="H105" s="38" t="str">
        <f aca="false">IF($A105="","",INDEX('Master Task List'!$L:$L,$A105))</f>
        <v/>
      </c>
      <c r="I105" s="0" t="str">
        <f aca="false">IF($A105="","",INDEX('Master Task List'!$P:$P,$A105))</f>
        <v/>
      </c>
    </row>
    <row r="106" customFormat="false" ht="15" hidden="false" customHeight="false" outlineLevel="0" collapsed="false">
      <c r="A106" s="0" t="str">
        <f aca="false">IFERROR(SMALL('Master Task List'!$U$2:$U$600,105),"")</f>
        <v/>
      </c>
      <c r="B106" s="0" t="str">
        <f aca="false">IF($A106="","",INDEX('Master Task List'!$D:$D,$A106))</f>
        <v/>
      </c>
      <c r="C106" s="0" t="str">
        <f aca="false">IF($A106="","",INDEX('Master Task List'!$B:$B,$A106))</f>
        <v/>
      </c>
      <c r="D106" s="0" t="str">
        <f aca="false">IF($A106="","",INDEX('Master Task List'!$F:$F,$A106))</f>
        <v/>
      </c>
      <c r="E106" s="39" t="str">
        <f aca="false">IF($A106="","",INDEX('Master Task List'!$G:$G,$A106))</f>
        <v/>
      </c>
      <c r="F106" s="0" t="str">
        <f aca="false">IF($A106="","",INDEX('Master Task List'!$I:$I,$A106))</f>
        <v/>
      </c>
      <c r="G106" s="40" t="str">
        <f aca="false">IF($A106="","",INDEX('Master Task List'!$N:$N,$A106))</f>
        <v/>
      </c>
      <c r="H106" s="38" t="str">
        <f aca="false">IF($A106="","",INDEX('Master Task List'!$L:$L,$A106))</f>
        <v/>
      </c>
      <c r="I106" s="0" t="str">
        <f aca="false">IF($A106="","",INDEX('Master Task List'!$P:$P,$A106))</f>
        <v/>
      </c>
    </row>
    <row r="107" customFormat="false" ht="15" hidden="false" customHeight="false" outlineLevel="0" collapsed="false">
      <c r="A107" s="0" t="str">
        <f aca="false">IFERROR(SMALL('Master Task List'!$U$2:$U$600,106),"")</f>
        <v/>
      </c>
      <c r="B107" s="0" t="str">
        <f aca="false">IF($A107="","",INDEX('Master Task List'!$D:$D,$A107))</f>
        <v/>
      </c>
      <c r="C107" s="0" t="str">
        <f aca="false">IF($A107="","",INDEX('Master Task List'!$B:$B,$A107))</f>
        <v/>
      </c>
      <c r="D107" s="0" t="str">
        <f aca="false">IF($A107="","",INDEX('Master Task List'!$F:$F,$A107))</f>
        <v/>
      </c>
      <c r="E107" s="39" t="str">
        <f aca="false">IF($A107="","",INDEX('Master Task List'!$G:$G,$A107))</f>
        <v/>
      </c>
      <c r="F107" s="0" t="str">
        <f aca="false">IF($A107="","",INDEX('Master Task List'!$I:$I,$A107))</f>
        <v/>
      </c>
      <c r="G107" s="40" t="str">
        <f aca="false">IF($A107="","",INDEX('Master Task List'!$N:$N,$A107))</f>
        <v/>
      </c>
      <c r="H107" s="38" t="str">
        <f aca="false">IF($A107="","",INDEX('Master Task List'!$L:$L,$A107))</f>
        <v/>
      </c>
      <c r="I107" s="0" t="str">
        <f aca="false">IF($A107="","",INDEX('Master Task List'!$P:$P,$A107))</f>
        <v/>
      </c>
    </row>
    <row r="108" customFormat="false" ht="15" hidden="false" customHeight="false" outlineLevel="0" collapsed="false">
      <c r="A108" s="0" t="str">
        <f aca="false">IFERROR(SMALL('Master Task List'!$U$2:$U$600,107),"")</f>
        <v/>
      </c>
      <c r="B108" s="0" t="str">
        <f aca="false">IF($A108="","",INDEX('Master Task List'!$D:$D,$A108))</f>
        <v/>
      </c>
      <c r="C108" s="0" t="str">
        <f aca="false">IF($A108="","",INDEX('Master Task List'!$B:$B,$A108))</f>
        <v/>
      </c>
      <c r="D108" s="0" t="str">
        <f aca="false">IF($A108="","",INDEX('Master Task List'!$F:$F,$A108))</f>
        <v/>
      </c>
      <c r="E108" s="39" t="str">
        <f aca="false">IF($A108="","",INDEX('Master Task List'!$G:$G,$A108))</f>
        <v/>
      </c>
      <c r="F108" s="0" t="str">
        <f aca="false">IF($A108="","",INDEX('Master Task List'!$I:$I,$A108))</f>
        <v/>
      </c>
      <c r="G108" s="40" t="str">
        <f aca="false">IF($A108="","",INDEX('Master Task List'!$N:$N,$A108))</f>
        <v/>
      </c>
      <c r="H108" s="38" t="str">
        <f aca="false">IF($A108="","",INDEX('Master Task List'!$L:$L,$A108))</f>
        <v/>
      </c>
      <c r="I108" s="0" t="str">
        <f aca="false">IF($A108="","",INDEX('Master Task List'!$P:$P,$A108))</f>
        <v/>
      </c>
    </row>
    <row r="109" customFormat="false" ht="15" hidden="false" customHeight="false" outlineLevel="0" collapsed="false">
      <c r="A109" s="0" t="str">
        <f aca="false">IFERROR(SMALL('Master Task List'!$U$2:$U$600,108),"")</f>
        <v/>
      </c>
      <c r="B109" s="0" t="str">
        <f aca="false">IF($A109="","",INDEX('Master Task List'!$D:$D,$A109))</f>
        <v/>
      </c>
      <c r="C109" s="0" t="str">
        <f aca="false">IF($A109="","",INDEX('Master Task List'!$B:$B,$A109))</f>
        <v/>
      </c>
      <c r="D109" s="0" t="str">
        <f aca="false">IF($A109="","",INDEX('Master Task List'!$F:$F,$A109))</f>
        <v/>
      </c>
      <c r="E109" s="39" t="str">
        <f aca="false">IF($A109="","",INDEX('Master Task List'!$G:$G,$A109))</f>
        <v/>
      </c>
      <c r="F109" s="0" t="str">
        <f aca="false">IF($A109="","",INDEX('Master Task List'!$I:$I,$A109))</f>
        <v/>
      </c>
      <c r="G109" s="40" t="str">
        <f aca="false">IF($A109="","",INDEX('Master Task List'!$N:$N,$A109))</f>
        <v/>
      </c>
      <c r="H109" s="38" t="str">
        <f aca="false">IF($A109="","",INDEX('Master Task List'!$L:$L,$A109))</f>
        <v/>
      </c>
      <c r="I109" s="0" t="str">
        <f aca="false">IF($A109="","",INDEX('Master Task List'!$P:$P,$A109))</f>
        <v/>
      </c>
    </row>
    <row r="110" customFormat="false" ht="15" hidden="false" customHeight="false" outlineLevel="0" collapsed="false">
      <c r="A110" s="0" t="str">
        <f aca="false">IFERROR(SMALL('Master Task List'!$U$2:$U$600,109),"")</f>
        <v/>
      </c>
      <c r="B110" s="0" t="str">
        <f aca="false">IF($A110="","",INDEX('Master Task List'!$D:$D,$A110))</f>
        <v/>
      </c>
      <c r="C110" s="0" t="str">
        <f aca="false">IF($A110="","",INDEX('Master Task List'!$B:$B,$A110))</f>
        <v/>
      </c>
      <c r="D110" s="0" t="str">
        <f aca="false">IF($A110="","",INDEX('Master Task List'!$F:$F,$A110))</f>
        <v/>
      </c>
      <c r="E110" s="39" t="str">
        <f aca="false">IF($A110="","",INDEX('Master Task List'!$G:$G,$A110))</f>
        <v/>
      </c>
      <c r="F110" s="0" t="str">
        <f aca="false">IF($A110="","",INDEX('Master Task List'!$I:$I,$A110))</f>
        <v/>
      </c>
      <c r="G110" s="40" t="str">
        <f aca="false">IF($A110="","",INDEX('Master Task List'!$N:$N,$A110))</f>
        <v/>
      </c>
      <c r="H110" s="38" t="str">
        <f aca="false">IF($A110="","",INDEX('Master Task List'!$L:$L,$A110))</f>
        <v/>
      </c>
      <c r="I110" s="0" t="str">
        <f aca="false">IF($A110="","",INDEX('Master Task List'!$P:$P,$A110))</f>
        <v/>
      </c>
    </row>
    <row r="111" customFormat="false" ht="15" hidden="false" customHeight="false" outlineLevel="0" collapsed="false">
      <c r="A111" s="0" t="str">
        <f aca="false">IFERROR(SMALL('Master Task List'!$U$2:$U$600,110),"")</f>
        <v/>
      </c>
      <c r="B111" s="0" t="str">
        <f aca="false">IF($A111="","",INDEX('Master Task List'!$D:$D,$A111))</f>
        <v/>
      </c>
      <c r="C111" s="0" t="str">
        <f aca="false">IF($A111="","",INDEX('Master Task List'!$B:$B,$A111))</f>
        <v/>
      </c>
      <c r="D111" s="0" t="str">
        <f aca="false">IF($A111="","",INDEX('Master Task List'!$F:$F,$A111))</f>
        <v/>
      </c>
      <c r="E111" s="39" t="str">
        <f aca="false">IF($A111="","",INDEX('Master Task List'!$G:$G,$A111))</f>
        <v/>
      </c>
      <c r="F111" s="0" t="str">
        <f aca="false">IF($A111="","",INDEX('Master Task List'!$I:$I,$A111))</f>
        <v/>
      </c>
      <c r="G111" s="40" t="str">
        <f aca="false">IF($A111="","",INDEX('Master Task List'!$N:$N,$A111))</f>
        <v/>
      </c>
      <c r="H111" s="38" t="str">
        <f aca="false">IF($A111="","",INDEX('Master Task List'!$L:$L,$A111))</f>
        <v/>
      </c>
      <c r="I111" s="0" t="str">
        <f aca="false">IF($A111="","",INDEX('Master Task List'!$P:$P,$A111))</f>
        <v/>
      </c>
    </row>
    <row r="112" customFormat="false" ht="15" hidden="false" customHeight="false" outlineLevel="0" collapsed="false">
      <c r="A112" s="0" t="str">
        <f aca="false">IFERROR(SMALL('Master Task List'!$U$2:$U$600,111),"")</f>
        <v/>
      </c>
      <c r="B112" s="0" t="str">
        <f aca="false">IF($A112="","",INDEX('Master Task List'!$D:$D,$A112))</f>
        <v/>
      </c>
      <c r="C112" s="0" t="str">
        <f aca="false">IF($A112="","",INDEX('Master Task List'!$B:$B,$A112))</f>
        <v/>
      </c>
      <c r="D112" s="0" t="str">
        <f aca="false">IF($A112="","",INDEX('Master Task List'!$F:$F,$A112))</f>
        <v/>
      </c>
      <c r="E112" s="39" t="str">
        <f aca="false">IF($A112="","",INDEX('Master Task List'!$G:$G,$A112))</f>
        <v/>
      </c>
      <c r="F112" s="0" t="str">
        <f aca="false">IF($A112="","",INDEX('Master Task List'!$I:$I,$A112))</f>
        <v/>
      </c>
      <c r="G112" s="40" t="str">
        <f aca="false">IF($A112="","",INDEX('Master Task List'!$N:$N,$A112))</f>
        <v/>
      </c>
      <c r="H112" s="38" t="str">
        <f aca="false">IF($A112="","",INDEX('Master Task List'!$L:$L,$A112))</f>
        <v/>
      </c>
      <c r="I112" s="0" t="str">
        <f aca="false">IF($A112="","",INDEX('Master Task List'!$P:$P,$A112))</f>
        <v/>
      </c>
    </row>
    <row r="113" customFormat="false" ht="15" hidden="false" customHeight="false" outlineLevel="0" collapsed="false">
      <c r="A113" s="0" t="str">
        <f aca="false">IFERROR(SMALL('Master Task List'!$U$2:$U$600,112),"")</f>
        <v/>
      </c>
      <c r="B113" s="0" t="str">
        <f aca="false">IF($A113="","",INDEX('Master Task List'!$D:$D,$A113))</f>
        <v/>
      </c>
      <c r="C113" s="0" t="str">
        <f aca="false">IF($A113="","",INDEX('Master Task List'!$B:$B,$A113))</f>
        <v/>
      </c>
      <c r="D113" s="0" t="str">
        <f aca="false">IF($A113="","",INDEX('Master Task List'!$F:$F,$A113))</f>
        <v/>
      </c>
      <c r="E113" s="39" t="str">
        <f aca="false">IF($A113="","",INDEX('Master Task List'!$G:$G,$A113))</f>
        <v/>
      </c>
      <c r="F113" s="0" t="str">
        <f aca="false">IF($A113="","",INDEX('Master Task List'!$I:$I,$A113))</f>
        <v/>
      </c>
      <c r="G113" s="40" t="str">
        <f aca="false">IF($A113="","",INDEX('Master Task List'!$N:$N,$A113))</f>
        <v/>
      </c>
      <c r="H113" s="38" t="str">
        <f aca="false">IF($A113="","",INDEX('Master Task List'!$L:$L,$A113))</f>
        <v/>
      </c>
      <c r="I113" s="0" t="str">
        <f aca="false">IF($A113="","",INDEX('Master Task List'!$P:$P,$A113))</f>
        <v/>
      </c>
    </row>
    <row r="114" customFormat="false" ht="15" hidden="false" customHeight="false" outlineLevel="0" collapsed="false">
      <c r="A114" s="0" t="str">
        <f aca="false">IFERROR(SMALL('Master Task List'!$U$2:$U$600,113),"")</f>
        <v/>
      </c>
      <c r="B114" s="0" t="str">
        <f aca="false">IF($A114="","",INDEX('Master Task List'!$D:$D,$A114))</f>
        <v/>
      </c>
      <c r="C114" s="0" t="str">
        <f aca="false">IF($A114="","",INDEX('Master Task List'!$B:$B,$A114))</f>
        <v/>
      </c>
      <c r="D114" s="0" t="str">
        <f aca="false">IF($A114="","",INDEX('Master Task List'!$F:$F,$A114))</f>
        <v/>
      </c>
      <c r="E114" s="39" t="str">
        <f aca="false">IF($A114="","",INDEX('Master Task List'!$G:$G,$A114))</f>
        <v/>
      </c>
      <c r="F114" s="0" t="str">
        <f aca="false">IF($A114="","",INDEX('Master Task List'!$I:$I,$A114))</f>
        <v/>
      </c>
      <c r="G114" s="40" t="str">
        <f aca="false">IF($A114="","",INDEX('Master Task List'!$N:$N,$A114))</f>
        <v/>
      </c>
      <c r="H114" s="38" t="str">
        <f aca="false">IF($A114="","",INDEX('Master Task List'!$L:$L,$A114))</f>
        <v/>
      </c>
      <c r="I114" s="0" t="str">
        <f aca="false">IF($A114="","",INDEX('Master Task List'!$P:$P,$A114))</f>
        <v/>
      </c>
    </row>
    <row r="115" customFormat="false" ht="15" hidden="false" customHeight="false" outlineLevel="0" collapsed="false">
      <c r="A115" s="0" t="str">
        <f aca="false">IFERROR(SMALL('Master Task List'!$U$2:$U$600,114),"")</f>
        <v/>
      </c>
      <c r="B115" s="0" t="str">
        <f aca="false">IF($A115="","",INDEX('Master Task List'!$D:$D,$A115))</f>
        <v/>
      </c>
      <c r="C115" s="0" t="str">
        <f aca="false">IF($A115="","",INDEX('Master Task List'!$B:$B,$A115))</f>
        <v/>
      </c>
      <c r="D115" s="0" t="str">
        <f aca="false">IF($A115="","",INDEX('Master Task List'!$F:$F,$A115))</f>
        <v/>
      </c>
      <c r="E115" s="39" t="str">
        <f aca="false">IF($A115="","",INDEX('Master Task List'!$G:$G,$A115))</f>
        <v/>
      </c>
      <c r="F115" s="0" t="str">
        <f aca="false">IF($A115="","",INDEX('Master Task List'!$I:$I,$A115))</f>
        <v/>
      </c>
      <c r="G115" s="40" t="str">
        <f aca="false">IF($A115="","",INDEX('Master Task List'!$N:$N,$A115))</f>
        <v/>
      </c>
      <c r="H115" s="38" t="str">
        <f aca="false">IF($A115="","",INDEX('Master Task List'!$L:$L,$A115))</f>
        <v/>
      </c>
      <c r="I115" s="0" t="str">
        <f aca="false">IF($A115="","",INDEX('Master Task List'!$P:$P,$A115))</f>
        <v/>
      </c>
    </row>
    <row r="116" customFormat="false" ht="15" hidden="false" customHeight="false" outlineLevel="0" collapsed="false">
      <c r="A116" s="0" t="str">
        <f aca="false">IFERROR(SMALL('Master Task List'!$U$2:$U$600,115),"")</f>
        <v/>
      </c>
      <c r="B116" s="0" t="str">
        <f aca="false">IF($A116="","",INDEX('Master Task List'!$D:$D,$A116))</f>
        <v/>
      </c>
      <c r="C116" s="0" t="str">
        <f aca="false">IF($A116="","",INDEX('Master Task List'!$B:$B,$A116))</f>
        <v/>
      </c>
      <c r="D116" s="0" t="str">
        <f aca="false">IF($A116="","",INDEX('Master Task List'!$F:$F,$A116))</f>
        <v/>
      </c>
      <c r="E116" s="39" t="str">
        <f aca="false">IF($A116="","",INDEX('Master Task List'!$G:$G,$A116))</f>
        <v/>
      </c>
      <c r="F116" s="0" t="str">
        <f aca="false">IF($A116="","",INDEX('Master Task List'!$I:$I,$A116))</f>
        <v/>
      </c>
      <c r="G116" s="40" t="str">
        <f aca="false">IF($A116="","",INDEX('Master Task List'!$N:$N,$A116))</f>
        <v/>
      </c>
      <c r="H116" s="38" t="str">
        <f aca="false">IF($A116="","",INDEX('Master Task List'!$L:$L,$A116))</f>
        <v/>
      </c>
      <c r="I116" s="0" t="str">
        <f aca="false">IF($A116="","",INDEX('Master Task List'!$P:$P,$A116))</f>
        <v/>
      </c>
    </row>
    <row r="117" customFormat="false" ht="15" hidden="false" customHeight="false" outlineLevel="0" collapsed="false">
      <c r="A117" s="0" t="str">
        <f aca="false">IFERROR(SMALL('Master Task List'!$U$2:$U$600,116),"")</f>
        <v/>
      </c>
      <c r="B117" s="0" t="str">
        <f aca="false">IF($A117="","",INDEX('Master Task List'!$D:$D,$A117))</f>
        <v/>
      </c>
      <c r="C117" s="0" t="str">
        <f aca="false">IF($A117="","",INDEX('Master Task List'!$B:$B,$A117))</f>
        <v/>
      </c>
      <c r="D117" s="0" t="str">
        <f aca="false">IF($A117="","",INDEX('Master Task List'!$F:$F,$A117))</f>
        <v/>
      </c>
      <c r="E117" s="39" t="str">
        <f aca="false">IF($A117="","",INDEX('Master Task List'!$G:$G,$A117))</f>
        <v/>
      </c>
      <c r="F117" s="0" t="str">
        <f aca="false">IF($A117="","",INDEX('Master Task List'!$I:$I,$A117))</f>
        <v/>
      </c>
      <c r="G117" s="40" t="str">
        <f aca="false">IF($A117="","",INDEX('Master Task List'!$N:$N,$A117))</f>
        <v/>
      </c>
      <c r="H117" s="38" t="str">
        <f aca="false">IF($A117="","",INDEX('Master Task List'!$L:$L,$A117))</f>
        <v/>
      </c>
      <c r="I117" s="0" t="str">
        <f aca="false">IF($A117="","",INDEX('Master Task List'!$P:$P,$A117))</f>
        <v/>
      </c>
    </row>
    <row r="118" customFormat="false" ht="15" hidden="false" customHeight="false" outlineLevel="0" collapsed="false">
      <c r="A118" s="0" t="str">
        <f aca="false">IFERROR(SMALL('Master Task List'!$U$2:$U$600,117),"")</f>
        <v/>
      </c>
      <c r="B118" s="0" t="str">
        <f aca="false">IF($A118="","",INDEX('Master Task List'!$D:$D,$A118))</f>
        <v/>
      </c>
      <c r="C118" s="0" t="str">
        <f aca="false">IF($A118="","",INDEX('Master Task List'!$B:$B,$A118))</f>
        <v/>
      </c>
      <c r="D118" s="0" t="str">
        <f aca="false">IF($A118="","",INDEX('Master Task List'!$F:$F,$A118))</f>
        <v/>
      </c>
      <c r="E118" s="39" t="str">
        <f aca="false">IF($A118="","",INDEX('Master Task List'!$G:$G,$A118))</f>
        <v/>
      </c>
      <c r="F118" s="0" t="str">
        <f aca="false">IF($A118="","",INDEX('Master Task List'!$I:$I,$A118))</f>
        <v/>
      </c>
      <c r="G118" s="40" t="str">
        <f aca="false">IF($A118="","",INDEX('Master Task List'!$N:$N,$A118))</f>
        <v/>
      </c>
      <c r="H118" s="38" t="str">
        <f aca="false">IF($A118="","",INDEX('Master Task List'!$L:$L,$A118))</f>
        <v/>
      </c>
      <c r="I118" s="0" t="str">
        <f aca="false">IF($A118="","",INDEX('Master Task List'!$P:$P,$A118))</f>
        <v/>
      </c>
    </row>
    <row r="119" customFormat="false" ht="15" hidden="false" customHeight="false" outlineLevel="0" collapsed="false">
      <c r="A119" s="0" t="str">
        <f aca="false">IFERROR(SMALL('Master Task List'!$U$2:$U$600,118),"")</f>
        <v/>
      </c>
      <c r="B119" s="0" t="str">
        <f aca="false">IF($A119="","",INDEX('Master Task List'!$D:$D,$A119))</f>
        <v/>
      </c>
      <c r="C119" s="0" t="str">
        <f aca="false">IF($A119="","",INDEX('Master Task List'!$B:$B,$A119))</f>
        <v/>
      </c>
      <c r="D119" s="0" t="str">
        <f aca="false">IF($A119="","",INDEX('Master Task List'!$F:$F,$A119))</f>
        <v/>
      </c>
      <c r="E119" s="39" t="str">
        <f aca="false">IF($A119="","",INDEX('Master Task List'!$G:$G,$A119))</f>
        <v/>
      </c>
      <c r="F119" s="0" t="str">
        <f aca="false">IF($A119="","",INDEX('Master Task List'!$I:$I,$A119))</f>
        <v/>
      </c>
      <c r="G119" s="40" t="str">
        <f aca="false">IF($A119="","",INDEX('Master Task List'!$N:$N,$A119))</f>
        <v/>
      </c>
      <c r="H119" s="38" t="str">
        <f aca="false">IF($A119="","",INDEX('Master Task List'!$L:$L,$A119))</f>
        <v/>
      </c>
      <c r="I119" s="0" t="str">
        <f aca="false">IF($A119="","",INDEX('Master Task List'!$P:$P,$A119))</f>
        <v/>
      </c>
    </row>
    <row r="120" customFormat="false" ht="15" hidden="false" customHeight="false" outlineLevel="0" collapsed="false">
      <c r="A120" s="0" t="str">
        <f aca="false">IFERROR(SMALL('Master Task List'!$U$2:$U$600,119),"")</f>
        <v/>
      </c>
      <c r="B120" s="0" t="str">
        <f aca="false">IF($A120="","",INDEX('Master Task List'!$D:$D,$A120))</f>
        <v/>
      </c>
      <c r="C120" s="0" t="str">
        <f aca="false">IF($A120="","",INDEX('Master Task List'!$B:$B,$A120))</f>
        <v/>
      </c>
      <c r="D120" s="0" t="str">
        <f aca="false">IF($A120="","",INDEX('Master Task List'!$F:$F,$A120))</f>
        <v/>
      </c>
      <c r="E120" s="39" t="str">
        <f aca="false">IF($A120="","",INDEX('Master Task List'!$G:$G,$A120))</f>
        <v/>
      </c>
      <c r="F120" s="0" t="str">
        <f aca="false">IF($A120="","",INDEX('Master Task List'!$I:$I,$A120))</f>
        <v/>
      </c>
      <c r="G120" s="40" t="str">
        <f aca="false">IF($A120="","",INDEX('Master Task List'!$N:$N,$A120))</f>
        <v/>
      </c>
      <c r="H120" s="38" t="str">
        <f aca="false">IF($A120="","",INDEX('Master Task List'!$L:$L,$A120))</f>
        <v/>
      </c>
      <c r="I120" s="0" t="str">
        <f aca="false">IF($A120="","",INDEX('Master Task List'!$P:$P,$A120))</f>
        <v/>
      </c>
    </row>
    <row r="121" customFormat="false" ht="15" hidden="false" customHeight="false" outlineLevel="0" collapsed="false">
      <c r="A121" s="0" t="str">
        <f aca="false">IFERROR(SMALL('Master Task List'!$U$2:$U$600,120),"")</f>
        <v/>
      </c>
      <c r="B121" s="0" t="str">
        <f aca="false">IF($A121="","",INDEX('Master Task List'!$D:$D,$A121))</f>
        <v/>
      </c>
      <c r="C121" s="0" t="str">
        <f aca="false">IF($A121="","",INDEX('Master Task List'!$B:$B,$A121))</f>
        <v/>
      </c>
      <c r="D121" s="0" t="str">
        <f aca="false">IF($A121="","",INDEX('Master Task List'!$F:$F,$A121))</f>
        <v/>
      </c>
      <c r="E121" s="39" t="str">
        <f aca="false">IF($A121="","",INDEX('Master Task List'!$G:$G,$A121))</f>
        <v/>
      </c>
      <c r="F121" s="0" t="str">
        <f aca="false">IF($A121="","",INDEX('Master Task List'!$I:$I,$A121))</f>
        <v/>
      </c>
      <c r="G121" s="40" t="str">
        <f aca="false">IF($A121="","",INDEX('Master Task List'!$N:$N,$A121))</f>
        <v/>
      </c>
      <c r="H121" s="38" t="str">
        <f aca="false">IF($A121="","",INDEX('Master Task List'!$L:$L,$A121))</f>
        <v/>
      </c>
      <c r="I121" s="0" t="str">
        <f aca="false">IF($A121="","",INDEX('Master Task List'!$P:$P,$A121))</f>
        <v/>
      </c>
    </row>
    <row r="122" customFormat="false" ht="15" hidden="false" customHeight="false" outlineLevel="0" collapsed="false">
      <c r="A122" s="0" t="str">
        <f aca="false">IFERROR(SMALL('Master Task List'!$U$2:$U$600,121),"")</f>
        <v/>
      </c>
      <c r="B122" s="0" t="str">
        <f aca="false">IF($A122="","",INDEX('Master Task List'!$D:$D,$A122))</f>
        <v/>
      </c>
      <c r="C122" s="0" t="str">
        <f aca="false">IF($A122="","",INDEX('Master Task List'!$B:$B,$A122))</f>
        <v/>
      </c>
      <c r="D122" s="0" t="str">
        <f aca="false">IF($A122="","",INDEX('Master Task List'!$F:$F,$A122))</f>
        <v/>
      </c>
      <c r="E122" s="39" t="str">
        <f aca="false">IF($A122="","",INDEX('Master Task List'!$G:$G,$A122))</f>
        <v/>
      </c>
      <c r="F122" s="0" t="str">
        <f aca="false">IF($A122="","",INDEX('Master Task List'!$I:$I,$A122))</f>
        <v/>
      </c>
      <c r="G122" s="40" t="str">
        <f aca="false">IF($A122="","",INDEX('Master Task List'!$N:$N,$A122))</f>
        <v/>
      </c>
      <c r="H122" s="38" t="str">
        <f aca="false">IF($A122="","",INDEX('Master Task List'!$L:$L,$A122))</f>
        <v/>
      </c>
      <c r="I122" s="0" t="str">
        <f aca="false">IF($A122="","",INDEX('Master Task List'!$P:$P,$A122))</f>
        <v/>
      </c>
    </row>
    <row r="123" customFormat="false" ht="15" hidden="false" customHeight="false" outlineLevel="0" collapsed="false">
      <c r="A123" s="0" t="str">
        <f aca="false">IFERROR(SMALL('Master Task List'!$U$2:$U$600,122),"")</f>
        <v/>
      </c>
      <c r="B123" s="0" t="str">
        <f aca="false">IF($A123="","",INDEX('Master Task List'!$D:$D,$A123))</f>
        <v/>
      </c>
      <c r="C123" s="0" t="str">
        <f aca="false">IF($A123="","",INDEX('Master Task List'!$B:$B,$A123))</f>
        <v/>
      </c>
      <c r="D123" s="0" t="str">
        <f aca="false">IF($A123="","",INDEX('Master Task List'!$F:$F,$A123))</f>
        <v/>
      </c>
      <c r="E123" s="39" t="str">
        <f aca="false">IF($A123="","",INDEX('Master Task List'!$G:$G,$A123))</f>
        <v/>
      </c>
      <c r="F123" s="0" t="str">
        <f aca="false">IF($A123="","",INDEX('Master Task List'!$I:$I,$A123))</f>
        <v/>
      </c>
      <c r="G123" s="40" t="str">
        <f aca="false">IF($A123="","",INDEX('Master Task List'!$N:$N,$A123))</f>
        <v/>
      </c>
      <c r="H123" s="38" t="str">
        <f aca="false">IF($A123="","",INDEX('Master Task List'!$L:$L,$A123))</f>
        <v/>
      </c>
      <c r="I123" s="0" t="str">
        <f aca="false">IF($A123="","",INDEX('Master Task List'!$P:$P,$A123))</f>
        <v/>
      </c>
    </row>
    <row r="124" customFormat="false" ht="15" hidden="false" customHeight="false" outlineLevel="0" collapsed="false">
      <c r="A124" s="0" t="str">
        <f aca="false">IFERROR(SMALL('Master Task List'!$U$2:$U$600,123),"")</f>
        <v/>
      </c>
      <c r="B124" s="0" t="str">
        <f aca="false">IF($A124="","",INDEX('Master Task List'!$D:$D,$A124))</f>
        <v/>
      </c>
      <c r="C124" s="0" t="str">
        <f aca="false">IF($A124="","",INDEX('Master Task List'!$B:$B,$A124))</f>
        <v/>
      </c>
      <c r="D124" s="0" t="str">
        <f aca="false">IF($A124="","",INDEX('Master Task List'!$F:$F,$A124))</f>
        <v/>
      </c>
      <c r="E124" s="39" t="str">
        <f aca="false">IF($A124="","",INDEX('Master Task List'!$G:$G,$A124))</f>
        <v/>
      </c>
      <c r="F124" s="0" t="str">
        <f aca="false">IF($A124="","",INDEX('Master Task List'!$I:$I,$A124))</f>
        <v/>
      </c>
      <c r="G124" s="40" t="str">
        <f aca="false">IF($A124="","",INDEX('Master Task List'!$N:$N,$A124))</f>
        <v/>
      </c>
      <c r="H124" s="38" t="str">
        <f aca="false">IF($A124="","",INDEX('Master Task List'!$L:$L,$A124))</f>
        <v/>
      </c>
      <c r="I124" s="0" t="str">
        <f aca="false">IF($A124="","",INDEX('Master Task List'!$P:$P,$A124))</f>
        <v/>
      </c>
    </row>
    <row r="125" customFormat="false" ht="15" hidden="false" customHeight="false" outlineLevel="0" collapsed="false">
      <c r="A125" s="0" t="str">
        <f aca="false">IFERROR(SMALL('Master Task List'!$U$2:$U$600,124),"")</f>
        <v/>
      </c>
      <c r="B125" s="0" t="str">
        <f aca="false">IF($A125="","",INDEX('Master Task List'!$D:$D,$A125))</f>
        <v/>
      </c>
      <c r="C125" s="0" t="str">
        <f aca="false">IF($A125="","",INDEX('Master Task List'!$B:$B,$A125))</f>
        <v/>
      </c>
      <c r="D125" s="0" t="str">
        <f aca="false">IF($A125="","",INDEX('Master Task List'!$F:$F,$A125))</f>
        <v/>
      </c>
      <c r="E125" s="39" t="str">
        <f aca="false">IF($A125="","",INDEX('Master Task List'!$G:$G,$A125))</f>
        <v/>
      </c>
      <c r="F125" s="0" t="str">
        <f aca="false">IF($A125="","",INDEX('Master Task List'!$I:$I,$A125))</f>
        <v/>
      </c>
      <c r="G125" s="40" t="str">
        <f aca="false">IF($A125="","",INDEX('Master Task List'!$N:$N,$A125))</f>
        <v/>
      </c>
      <c r="H125" s="38" t="str">
        <f aca="false">IF($A125="","",INDEX('Master Task List'!$L:$L,$A125))</f>
        <v/>
      </c>
      <c r="I125" s="0" t="str">
        <f aca="false">IF($A125="","",INDEX('Master Task List'!$P:$P,$A125))</f>
        <v/>
      </c>
    </row>
    <row r="126" customFormat="false" ht="15" hidden="false" customHeight="false" outlineLevel="0" collapsed="false">
      <c r="A126" s="0" t="str">
        <f aca="false">IFERROR(SMALL('Master Task List'!$U$2:$U$600,125),"")</f>
        <v/>
      </c>
      <c r="B126" s="0" t="str">
        <f aca="false">IF($A126="","",INDEX('Master Task List'!$D:$D,$A126))</f>
        <v/>
      </c>
      <c r="C126" s="0" t="str">
        <f aca="false">IF($A126="","",INDEX('Master Task List'!$B:$B,$A126))</f>
        <v/>
      </c>
      <c r="D126" s="0" t="str">
        <f aca="false">IF($A126="","",INDEX('Master Task List'!$F:$F,$A126))</f>
        <v/>
      </c>
      <c r="E126" s="39" t="str">
        <f aca="false">IF($A126="","",INDEX('Master Task List'!$G:$G,$A126))</f>
        <v/>
      </c>
      <c r="F126" s="0" t="str">
        <f aca="false">IF($A126="","",INDEX('Master Task List'!$I:$I,$A126))</f>
        <v/>
      </c>
      <c r="G126" s="40" t="str">
        <f aca="false">IF($A126="","",INDEX('Master Task List'!$N:$N,$A126))</f>
        <v/>
      </c>
      <c r="H126" s="38" t="str">
        <f aca="false">IF($A126="","",INDEX('Master Task List'!$L:$L,$A126))</f>
        <v/>
      </c>
      <c r="I126" s="0" t="str">
        <f aca="false">IF($A126="","",INDEX('Master Task List'!$P:$P,$A126))</f>
        <v/>
      </c>
    </row>
    <row r="127" customFormat="false" ht="15" hidden="false" customHeight="false" outlineLevel="0" collapsed="false">
      <c r="A127" s="0" t="str">
        <f aca="false">IFERROR(SMALL('Master Task List'!$U$2:$U$600,126),"")</f>
        <v/>
      </c>
      <c r="B127" s="0" t="str">
        <f aca="false">IF($A127="","",INDEX('Master Task List'!$D:$D,$A127))</f>
        <v/>
      </c>
      <c r="C127" s="0" t="str">
        <f aca="false">IF($A127="","",INDEX('Master Task List'!$B:$B,$A127))</f>
        <v/>
      </c>
      <c r="D127" s="0" t="str">
        <f aca="false">IF($A127="","",INDEX('Master Task List'!$F:$F,$A127))</f>
        <v/>
      </c>
      <c r="E127" s="39" t="str">
        <f aca="false">IF($A127="","",INDEX('Master Task List'!$G:$G,$A127))</f>
        <v/>
      </c>
      <c r="F127" s="0" t="str">
        <f aca="false">IF($A127="","",INDEX('Master Task List'!$I:$I,$A127))</f>
        <v/>
      </c>
      <c r="G127" s="40" t="str">
        <f aca="false">IF($A127="","",INDEX('Master Task List'!$N:$N,$A127))</f>
        <v/>
      </c>
      <c r="H127" s="38" t="str">
        <f aca="false">IF($A127="","",INDEX('Master Task List'!$L:$L,$A127))</f>
        <v/>
      </c>
      <c r="I127" s="0" t="str">
        <f aca="false">IF($A127="","",INDEX('Master Task List'!$P:$P,$A127))</f>
        <v/>
      </c>
    </row>
    <row r="128" customFormat="false" ht="15" hidden="false" customHeight="false" outlineLevel="0" collapsed="false">
      <c r="A128" s="0" t="str">
        <f aca="false">IFERROR(SMALL('Master Task List'!$U$2:$U$600,127),"")</f>
        <v/>
      </c>
      <c r="B128" s="0" t="str">
        <f aca="false">IF($A128="","",INDEX('Master Task List'!$D:$D,$A128))</f>
        <v/>
      </c>
      <c r="C128" s="0" t="str">
        <f aca="false">IF($A128="","",INDEX('Master Task List'!$B:$B,$A128))</f>
        <v/>
      </c>
      <c r="D128" s="0" t="str">
        <f aca="false">IF($A128="","",INDEX('Master Task List'!$F:$F,$A128))</f>
        <v/>
      </c>
      <c r="E128" s="39" t="str">
        <f aca="false">IF($A128="","",INDEX('Master Task List'!$G:$G,$A128))</f>
        <v/>
      </c>
      <c r="F128" s="0" t="str">
        <f aca="false">IF($A128="","",INDEX('Master Task List'!$I:$I,$A128))</f>
        <v/>
      </c>
      <c r="G128" s="40" t="str">
        <f aca="false">IF($A128="","",INDEX('Master Task List'!$N:$N,$A128))</f>
        <v/>
      </c>
      <c r="H128" s="38" t="str">
        <f aca="false">IF($A128="","",INDEX('Master Task List'!$L:$L,$A128))</f>
        <v/>
      </c>
      <c r="I128" s="0" t="str">
        <f aca="false">IF($A128="","",INDEX('Master Task List'!$P:$P,$A128))</f>
        <v/>
      </c>
    </row>
    <row r="129" customFormat="false" ht="15" hidden="false" customHeight="false" outlineLevel="0" collapsed="false">
      <c r="A129" s="0" t="str">
        <f aca="false">IFERROR(SMALL('Master Task List'!$U$2:$U$600,128),"")</f>
        <v/>
      </c>
      <c r="B129" s="0" t="str">
        <f aca="false">IF($A129="","",INDEX('Master Task List'!$D:$D,$A129))</f>
        <v/>
      </c>
      <c r="C129" s="0" t="str">
        <f aca="false">IF($A129="","",INDEX('Master Task List'!$B:$B,$A129))</f>
        <v/>
      </c>
      <c r="D129" s="0" t="str">
        <f aca="false">IF($A129="","",INDEX('Master Task List'!$F:$F,$A129))</f>
        <v/>
      </c>
      <c r="E129" s="39" t="str">
        <f aca="false">IF($A129="","",INDEX('Master Task List'!$G:$G,$A129))</f>
        <v/>
      </c>
      <c r="F129" s="0" t="str">
        <f aca="false">IF($A129="","",INDEX('Master Task List'!$I:$I,$A129))</f>
        <v/>
      </c>
      <c r="G129" s="40" t="str">
        <f aca="false">IF($A129="","",INDEX('Master Task List'!$N:$N,$A129))</f>
        <v/>
      </c>
      <c r="H129" s="38" t="str">
        <f aca="false">IF($A129="","",INDEX('Master Task List'!$L:$L,$A129))</f>
        <v/>
      </c>
      <c r="I129" s="0" t="str">
        <f aca="false">IF($A129="","",INDEX('Master Task List'!$P:$P,$A129))</f>
        <v/>
      </c>
    </row>
    <row r="130" customFormat="false" ht="15" hidden="false" customHeight="false" outlineLevel="0" collapsed="false">
      <c r="A130" s="0" t="str">
        <f aca="false">IFERROR(SMALL('Master Task List'!$U$2:$U$600,129),"")</f>
        <v/>
      </c>
      <c r="B130" s="0" t="str">
        <f aca="false">IF($A130="","",INDEX('Master Task List'!$D:$D,$A130))</f>
        <v/>
      </c>
      <c r="C130" s="0" t="str">
        <f aca="false">IF($A130="","",INDEX('Master Task List'!$B:$B,$A130))</f>
        <v/>
      </c>
      <c r="D130" s="0" t="str">
        <f aca="false">IF($A130="","",INDEX('Master Task List'!$F:$F,$A130))</f>
        <v/>
      </c>
      <c r="E130" s="39" t="str">
        <f aca="false">IF($A130="","",INDEX('Master Task List'!$G:$G,$A130))</f>
        <v/>
      </c>
      <c r="F130" s="0" t="str">
        <f aca="false">IF($A130="","",INDEX('Master Task List'!$I:$I,$A130))</f>
        <v/>
      </c>
      <c r="G130" s="40" t="str">
        <f aca="false">IF($A130="","",INDEX('Master Task List'!$N:$N,$A130))</f>
        <v/>
      </c>
      <c r="H130" s="38" t="str">
        <f aca="false">IF($A130="","",INDEX('Master Task List'!$L:$L,$A130))</f>
        <v/>
      </c>
      <c r="I130" s="0" t="str">
        <f aca="false">IF($A130="","",INDEX('Master Task List'!$P:$P,$A130))</f>
        <v/>
      </c>
    </row>
    <row r="131" customFormat="false" ht="15" hidden="false" customHeight="false" outlineLevel="0" collapsed="false">
      <c r="A131" s="0" t="str">
        <f aca="false">IFERROR(SMALL('Master Task List'!$U$2:$U$600,130),"")</f>
        <v/>
      </c>
      <c r="B131" s="0" t="str">
        <f aca="false">IF($A131="","",INDEX('Master Task List'!$D:$D,$A131))</f>
        <v/>
      </c>
      <c r="C131" s="0" t="str">
        <f aca="false">IF($A131="","",INDEX('Master Task List'!$B:$B,$A131))</f>
        <v/>
      </c>
      <c r="D131" s="0" t="str">
        <f aca="false">IF($A131="","",INDEX('Master Task List'!$F:$F,$A131))</f>
        <v/>
      </c>
      <c r="E131" s="39" t="str">
        <f aca="false">IF($A131="","",INDEX('Master Task List'!$G:$G,$A131))</f>
        <v/>
      </c>
      <c r="F131" s="0" t="str">
        <f aca="false">IF($A131="","",INDEX('Master Task List'!$I:$I,$A131))</f>
        <v/>
      </c>
      <c r="G131" s="40" t="str">
        <f aca="false">IF($A131="","",INDEX('Master Task List'!$N:$N,$A131))</f>
        <v/>
      </c>
      <c r="H131" s="38" t="str">
        <f aca="false">IF($A131="","",INDEX('Master Task List'!$L:$L,$A131))</f>
        <v/>
      </c>
      <c r="I131" s="0" t="str">
        <f aca="false">IF($A131="","",INDEX('Master Task List'!$P:$P,$A131))</f>
        <v/>
      </c>
    </row>
    <row r="132" customFormat="false" ht="15" hidden="false" customHeight="false" outlineLevel="0" collapsed="false">
      <c r="A132" s="0" t="str">
        <f aca="false">IFERROR(SMALL('Master Task List'!$U$2:$U$600,131),"")</f>
        <v/>
      </c>
      <c r="B132" s="0" t="str">
        <f aca="false">IF($A132="","",INDEX('Master Task List'!$D:$D,$A132))</f>
        <v/>
      </c>
      <c r="C132" s="0" t="str">
        <f aca="false">IF($A132="","",INDEX('Master Task List'!$B:$B,$A132))</f>
        <v/>
      </c>
      <c r="D132" s="0" t="str">
        <f aca="false">IF($A132="","",INDEX('Master Task List'!$F:$F,$A132))</f>
        <v/>
      </c>
      <c r="E132" s="39" t="str">
        <f aca="false">IF($A132="","",INDEX('Master Task List'!$G:$G,$A132))</f>
        <v/>
      </c>
      <c r="F132" s="0" t="str">
        <f aca="false">IF($A132="","",INDEX('Master Task List'!$I:$I,$A132))</f>
        <v/>
      </c>
      <c r="G132" s="40" t="str">
        <f aca="false">IF($A132="","",INDEX('Master Task List'!$N:$N,$A132))</f>
        <v/>
      </c>
      <c r="H132" s="38" t="str">
        <f aca="false">IF($A132="","",INDEX('Master Task List'!$L:$L,$A132))</f>
        <v/>
      </c>
      <c r="I132" s="0" t="str">
        <f aca="false">IF($A132="","",INDEX('Master Task List'!$P:$P,$A132))</f>
        <v/>
      </c>
    </row>
    <row r="133" customFormat="false" ht="15" hidden="false" customHeight="false" outlineLevel="0" collapsed="false">
      <c r="A133" s="0" t="str">
        <f aca="false">IFERROR(SMALL('Master Task List'!$U$2:$U$600,132),"")</f>
        <v/>
      </c>
      <c r="B133" s="0" t="str">
        <f aca="false">IF($A133="","",INDEX('Master Task List'!$D:$D,$A133))</f>
        <v/>
      </c>
      <c r="C133" s="0" t="str">
        <f aca="false">IF($A133="","",INDEX('Master Task List'!$B:$B,$A133))</f>
        <v/>
      </c>
      <c r="D133" s="0" t="str">
        <f aca="false">IF($A133="","",INDEX('Master Task List'!$F:$F,$A133))</f>
        <v/>
      </c>
      <c r="E133" s="39" t="str">
        <f aca="false">IF($A133="","",INDEX('Master Task List'!$G:$G,$A133))</f>
        <v/>
      </c>
      <c r="F133" s="0" t="str">
        <f aca="false">IF($A133="","",INDEX('Master Task List'!$I:$I,$A133))</f>
        <v/>
      </c>
      <c r="G133" s="40" t="str">
        <f aca="false">IF($A133="","",INDEX('Master Task List'!$N:$N,$A133))</f>
        <v/>
      </c>
      <c r="H133" s="38" t="str">
        <f aca="false">IF($A133="","",INDEX('Master Task List'!$L:$L,$A133))</f>
        <v/>
      </c>
      <c r="I133" s="0" t="str">
        <f aca="false">IF($A133="","",INDEX('Master Task List'!$P:$P,$A133))</f>
        <v/>
      </c>
    </row>
    <row r="134" customFormat="false" ht="15" hidden="false" customHeight="false" outlineLevel="0" collapsed="false">
      <c r="A134" s="0" t="str">
        <f aca="false">IFERROR(SMALL('Master Task List'!$U$2:$U$600,133),"")</f>
        <v/>
      </c>
      <c r="B134" s="0" t="str">
        <f aca="false">IF($A134="","",INDEX('Master Task List'!$D:$D,$A134))</f>
        <v/>
      </c>
      <c r="C134" s="0" t="str">
        <f aca="false">IF($A134="","",INDEX('Master Task List'!$B:$B,$A134))</f>
        <v/>
      </c>
      <c r="D134" s="0" t="str">
        <f aca="false">IF($A134="","",INDEX('Master Task List'!$F:$F,$A134))</f>
        <v/>
      </c>
      <c r="E134" s="39" t="str">
        <f aca="false">IF($A134="","",INDEX('Master Task List'!$G:$G,$A134))</f>
        <v/>
      </c>
      <c r="F134" s="0" t="str">
        <f aca="false">IF($A134="","",INDEX('Master Task List'!$I:$I,$A134))</f>
        <v/>
      </c>
      <c r="G134" s="40" t="str">
        <f aca="false">IF($A134="","",INDEX('Master Task List'!$N:$N,$A134))</f>
        <v/>
      </c>
      <c r="H134" s="38" t="str">
        <f aca="false">IF($A134="","",INDEX('Master Task List'!$L:$L,$A134))</f>
        <v/>
      </c>
      <c r="I134" s="0" t="str">
        <f aca="false">IF($A134="","",INDEX('Master Task List'!$P:$P,$A134))</f>
        <v/>
      </c>
    </row>
    <row r="135" customFormat="false" ht="15" hidden="false" customHeight="false" outlineLevel="0" collapsed="false">
      <c r="A135" s="0" t="str">
        <f aca="false">IFERROR(SMALL('Master Task List'!$U$2:$U$600,134),"")</f>
        <v/>
      </c>
      <c r="B135" s="0" t="str">
        <f aca="false">IF($A135="","",INDEX('Master Task List'!$D:$D,$A135))</f>
        <v/>
      </c>
      <c r="C135" s="0" t="str">
        <f aca="false">IF($A135="","",INDEX('Master Task List'!$B:$B,$A135))</f>
        <v/>
      </c>
      <c r="D135" s="0" t="str">
        <f aca="false">IF($A135="","",INDEX('Master Task List'!$F:$F,$A135))</f>
        <v/>
      </c>
      <c r="E135" s="39" t="str">
        <f aca="false">IF($A135="","",INDEX('Master Task List'!$G:$G,$A135))</f>
        <v/>
      </c>
      <c r="F135" s="0" t="str">
        <f aca="false">IF($A135="","",INDEX('Master Task List'!$I:$I,$A135))</f>
        <v/>
      </c>
      <c r="G135" s="40" t="str">
        <f aca="false">IF($A135="","",INDEX('Master Task List'!$N:$N,$A135))</f>
        <v/>
      </c>
      <c r="H135" s="38" t="str">
        <f aca="false">IF($A135="","",INDEX('Master Task List'!$L:$L,$A135))</f>
        <v/>
      </c>
      <c r="I135" s="0" t="str">
        <f aca="false">IF($A135="","",INDEX('Master Task List'!$P:$P,$A135))</f>
        <v/>
      </c>
    </row>
    <row r="136" customFormat="false" ht="15" hidden="false" customHeight="false" outlineLevel="0" collapsed="false">
      <c r="A136" s="0" t="str">
        <f aca="false">IFERROR(SMALL('Master Task List'!$U$2:$U$600,135),"")</f>
        <v/>
      </c>
      <c r="B136" s="0" t="str">
        <f aca="false">IF($A136="","",INDEX('Master Task List'!$D:$D,$A136))</f>
        <v/>
      </c>
      <c r="C136" s="0" t="str">
        <f aca="false">IF($A136="","",INDEX('Master Task List'!$B:$B,$A136))</f>
        <v/>
      </c>
      <c r="D136" s="0" t="str">
        <f aca="false">IF($A136="","",INDEX('Master Task List'!$F:$F,$A136))</f>
        <v/>
      </c>
      <c r="E136" s="39" t="str">
        <f aca="false">IF($A136="","",INDEX('Master Task List'!$G:$G,$A136))</f>
        <v/>
      </c>
      <c r="F136" s="0" t="str">
        <f aca="false">IF($A136="","",INDEX('Master Task List'!$I:$I,$A136))</f>
        <v/>
      </c>
      <c r="G136" s="40" t="str">
        <f aca="false">IF($A136="","",INDEX('Master Task List'!$N:$N,$A136))</f>
        <v/>
      </c>
      <c r="H136" s="38" t="str">
        <f aca="false">IF($A136="","",INDEX('Master Task List'!$L:$L,$A136))</f>
        <v/>
      </c>
      <c r="I136" s="0" t="str">
        <f aca="false">IF($A136="","",INDEX('Master Task List'!$P:$P,$A136))</f>
        <v/>
      </c>
    </row>
    <row r="137" customFormat="false" ht="15" hidden="false" customHeight="false" outlineLevel="0" collapsed="false">
      <c r="A137" s="0" t="str">
        <f aca="false">IFERROR(SMALL('Master Task List'!$U$2:$U$600,136),"")</f>
        <v/>
      </c>
      <c r="B137" s="0" t="str">
        <f aca="false">IF($A137="","",INDEX('Master Task List'!$D:$D,$A137))</f>
        <v/>
      </c>
      <c r="C137" s="0" t="str">
        <f aca="false">IF($A137="","",INDEX('Master Task List'!$B:$B,$A137))</f>
        <v/>
      </c>
      <c r="D137" s="0" t="str">
        <f aca="false">IF($A137="","",INDEX('Master Task List'!$F:$F,$A137))</f>
        <v/>
      </c>
      <c r="E137" s="39" t="str">
        <f aca="false">IF($A137="","",INDEX('Master Task List'!$G:$G,$A137))</f>
        <v/>
      </c>
      <c r="F137" s="0" t="str">
        <f aca="false">IF($A137="","",INDEX('Master Task List'!$I:$I,$A137))</f>
        <v/>
      </c>
      <c r="G137" s="40" t="str">
        <f aca="false">IF($A137="","",INDEX('Master Task List'!$N:$N,$A137))</f>
        <v/>
      </c>
      <c r="H137" s="38" t="str">
        <f aca="false">IF($A137="","",INDEX('Master Task List'!$L:$L,$A137))</f>
        <v/>
      </c>
      <c r="I137" s="0" t="str">
        <f aca="false">IF($A137="","",INDEX('Master Task List'!$P:$P,$A137))</f>
        <v/>
      </c>
    </row>
    <row r="138" customFormat="false" ht="15" hidden="false" customHeight="false" outlineLevel="0" collapsed="false">
      <c r="A138" s="0" t="str">
        <f aca="false">IFERROR(SMALL('Master Task List'!$U$2:$U$600,137),"")</f>
        <v/>
      </c>
      <c r="B138" s="0" t="str">
        <f aca="false">IF($A138="","",INDEX('Master Task List'!$D:$D,$A138))</f>
        <v/>
      </c>
      <c r="C138" s="0" t="str">
        <f aca="false">IF($A138="","",INDEX('Master Task List'!$B:$B,$A138))</f>
        <v/>
      </c>
      <c r="D138" s="0" t="str">
        <f aca="false">IF($A138="","",INDEX('Master Task List'!$F:$F,$A138))</f>
        <v/>
      </c>
      <c r="E138" s="39" t="str">
        <f aca="false">IF($A138="","",INDEX('Master Task List'!$G:$G,$A138))</f>
        <v/>
      </c>
      <c r="F138" s="0" t="str">
        <f aca="false">IF($A138="","",INDEX('Master Task List'!$I:$I,$A138))</f>
        <v/>
      </c>
      <c r="G138" s="40" t="str">
        <f aca="false">IF($A138="","",INDEX('Master Task List'!$N:$N,$A138))</f>
        <v/>
      </c>
      <c r="H138" s="38" t="str">
        <f aca="false">IF($A138="","",INDEX('Master Task List'!$L:$L,$A138))</f>
        <v/>
      </c>
      <c r="I138" s="0" t="str">
        <f aca="false">IF($A138="","",INDEX('Master Task List'!$P:$P,$A138))</f>
        <v/>
      </c>
    </row>
    <row r="139" customFormat="false" ht="15" hidden="false" customHeight="false" outlineLevel="0" collapsed="false">
      <c r="A139" s="0" t="str">
        <f aca="false">IFERROR(SMALL('Master Task List'!$U$2:$U$600,138),"")</f>
        <v/>
      </c>
      <c r="B139" s="0" t="str">
        <f aca="false">IF($A139="","",INDEX('Master Task List'!$D:$D,$A139))</f>
        <v/>
      </c>
      <c r="C139" s="0" t="str">
        <f aca="false">IF($A139="","",INDEX('Master Task List'!$B:$B,$A139))</f>
        <v/>
      </c>
      <c r="D139" s="0" t="str">
        <f aca="false">IF($A139="","",INDEX('Master Task List'!$F:$F,$A139))</f>
        <v/>
      </c>
      <c r="E139" s="39" t="str">
        <f aca="false">IF($A139="","",INDEX('Master Task List'!$G:$G,$A139))</f>
        <v/>
      </c>
      <c r="F139" s="0" t="str">
        <f aca="false">IF($A139="","",INDEX('Master Task List'!$I:$I,$A139))</f>
        <v/>
      </c>
      <c r="G139" s="40" t="str">
        <f aca="false">IF($A139="","",INDEX('Master Task List'!$N:$N,$A139))</f>
        <v/>
      </c>
      <c r="H139" s="38" t="str">
        <f aca="false">IF($A139="","",INDEX('Master Task List'!$L:$L,$A139))</f>
        <v/>
      </c>
      <c r="I139" s="0" t="str">
        <f aca="false">IF($A139="","",INDEX('Master Task List'!$P:$P,$A139))</f>
        <v/>
      </c>
    </row>
    <row r="140" customFormat="false" ht="15" hidden="false" customHeight="false" outlineLevel="0" collapsed="false">
      <c r="A140" s="0" t="str">
        <f aca="false">IFERROR(SMALL('Master Task List'!$U$2:$U$600,139),"")</f>
        <v/>
      </c>
      <c r="B140" s="0" t="str">
        <f aca="false">IF($A140="","",INDEX('Master Task List'!$D:$D,$A140))</f>
        <v/>
      </c>
      <c r="C140" s="0" t="str">
        <f aca="false">IF($A140="","",INDEX('Master Task List'!$B:$B,$A140))</f>
        <v/>
      </c>
      <c r="D140" s="0" t="str">
        <f aca="false">IF($A140="","",INDEX('Master Task List'!$F:$F,$A140))</f>
        <v/>
      </c>
      <c r="E140" s="39" t="str">
        <f aca="false">IF($A140="","",INDEX('Master Task List'!$G:$G,$A140))</f>
        <v/>
      </c>
      <c r="F140" s="0" t="str">
        <f aca="false">IF($A140="","",INDEX('Master Task List'!$I:$I,$A140))</f>
        <v/>
      </c>
      <c r="G140" s="40" t="str">
        <f aca="false">IF($A140="","",INDEX('Master Task List'!$N:$N,$A140))</f>
        <v/>
      </c>
      <c r="H140" s="38" t="str">
        <f aca="false">IF($A140="","",INDEX('Master Task List'!$L:$L,$A140))</f>
        <v/>
      </c>
      <c r="I140" s="0" t="str">
        <f aca="false">IF($A140="","",INDEX('Master Task List'!$P:$P,$A140))</f>
        <v/>
      </c>
    </row>
    <row r="141" customFormat="false" ht="15" hidden="false" customHeight="false" outlineLevel="0" collapsed="false">
      <c r="A141" s="0" t="str">
        <f aca="false">IFERROR(SMALL('Master Task List'!$U$2:$U$600,140),"")</f>
        <v/>
      </c>
      <c r="B141" s="0" t="str">
        <f aca="false">IF($A141="","",INDEX('Master Task List'!$D:$D,$A141))</f>
        <v/>
      </c>
      <c r="C141" s="0" t="str">
        <f aca="false">IF($A141="","",INDEX('Master Task List'!$B:$B,$A141))</f>
        <v/>
      </c>
      <c r="D141" s="0" t="str">
        <f aca="false">IF($A141="","",INDEX('Master Task List'!$F:$F,$A141))</f>
        <v/>
      </c>
      <c r="E141" s="39" t="str">
        <f aca="false">IF($A141="","",INDEX('Master Task List'!$G:$G,$A141))</f>
        <v/>
      </c>
      <c r="F141" s="0" t="str">
        <f aca="false">IF($A141="","",INDEX('Master Task List'!$I:$I,$A141))</f>
        <v/>
      </c>
      <c r="G141" s="40" t="str">
        <f aca="false">IF($A141="","",INDEX('Master Task List'!$N:$N,$A141))</f>
        <v/>
      </c>
      <c r="H141" s="38" t="str">
        <f aca="false">IF($A141="","",INDEX('Master Task List'!$L:$L,$A141))</f>
        <v/>
      </c>
      <c r="I141" s="0" t="str">
        <f aca="false">IF($A141="","",INDEX('Master Task List'!$P:$P,$A141))</f>
        <v/>
      </c>
    </row>
    <row r="142" customFormat="false" ht="15" hidden="false" customHeight="false" outlineLevel="0" collapsed="false">
      <c r="A142" s="0" t="str">
        <f aca="false">IFERROR(SMALL('Master Task List'!$U$2:$U$600,141),"")</f>
        <v/>
      </c>
      <c r="B142" s="0" t="str">
        <f aca="false">IF($A142="","",INDEX('Master Task List'!$D:$D,$A142))</f>
        <v/>
      </c>
      <c r="C142" s="0" t="str">
        <f aca="false">IF($A142="","",INDEX('Master Task List'!$B:$B,$A142))</f>
        <v/>
      </c>
      <c r="D142" s="0" t="str">
        <f aca="false">IF($A142="","",INDEX('Master Task List'!$F:$F,$A142))</f>
        <v/>
      </c>
      <c r="E142" s="39" t="str">
        <f aca="false">IF($A142="","",INDEX('Master Task List'!$G:$G,$A142))</f>
        <v/>
      </c>
      <c r="F142" s="0" t="str">
        <f aca="false">IF($A142="","",INDEX('Master Task List'!$I:$I,$A142))</f>
        <v/>
      </c>
      <c r="G142" s="40" t="str">
        <f aca="false">IF($A142="","",INDEX('Master Task List'!$N:$N,$A142))</f>
        <v/>
      </c>
      <c r="H142" s="38" t="str">
        <f aca="false">IF($A142="","",INDEX('Master Task List'!$L:$L,$A142))</f>
        <v/>
      </c>
      <c r="I142" s="0" t="str">
        <f aca="false">IF($A142="","",INDEX('Master Task List'!$P:$P,$A142))</f>
        <v/>
      </c>
    </row>
    <row r="143" customFormat="false" ht="15" hidden="false" customHeight="false" outlineLevel="0" collapsed="false">
      <c r="A143" s="0" t="str">
        <f aca="false">IFERROR(SMALL('Master Task List'!$U$2:$U$600,142),"")</f>
        <v/>
      </c>
      <c r="B143" s="0" t="str">
        <f aca="false">IF($A143="","",INDEX('Master Task List'!$D:$D,$A143))</f>
        <v/>
      </c>
      <c r="C143" s="0" t="str">
        <f aca="false">IF($A143="","",INDEX('Master Task List'!$B:$B,$A143))</f>
        <v/>
      </c>
      <c r="D143" s="0" t="str">
        <f aca="false">IF($A143="","",INDEX('Master Task List'!$F:$F,$A143))</f>
        <v/>
      </c>
      <c r="E143" s="39" t="str">
        <f aca="false">IF($A143="","",INDEX('Master Task List'!$G:$G,$A143))</f>
        <v/>
      </c>
      <c r="F143" s="0" t="str">
        <f aca="false">IF($A143="","",INDEX('Master Task List'!$I:$I,$A143))</f>
        <v/>
      </c>
      <c r="G143" s="40" t="str">
        <f aca="false">IF($A143="","",INDEX('Master Task List'!$N:$N,$A143))</f>
        <v/>
      </c>
      <c r="H143" s="38" t="str">
        <f aca="false">IF($A143="","",INDEX('Master Task List'!$L:$L,$A143))</f>
        <v/>
      </c>
      <c r="I143" s="0" t="str">
        <f aca="false">IF($A143="","",INDEX('Master Task List'!$P:$P,$A143))</f>
        <v/>
      </c>
    </row>
    <row r="144" customFormat="false" ht="15" hidden="false" customHeight="false" outlineLevel="0" collapsed="false">
      <c r="A144" s="0" t="str">
        <f aca="false">IFERROR(SMALL('Master Task List'!$U$2:$U$600,143),"")</f>
        <v/>
      </c>
      <c r="B144" s="0" t="str">
        <f aca="false">IF($A144="","",INDEX('Master Task List'!$D:$D,$A144))</f>
        <v/>
      </c>
      <c r="C144" s="0" t="str">
        <f aca="false">IF($A144="","",INDEX('Master Task List'!$B:$B,$A144))</f>
        <v/>
      </c>
      <c r="D144" s="0" t="str">
        <f aca="false">IF($A144="","",INDEX('Master Task List'!$F:$F,$A144))</f>
        <v/>
      </c>
      <c r="E144" s="39" t="str">
        <f aca="false">IF($A144="","",INDEX('Master Task List'!$G:$G,$A144))</f>
        <v/>
      </c>
      <c r="F144" s="0" t="str">
        <f aca="false">IF($A144="","",INDEX('Master Task List'!$I:$I,$A144))</f>
        <v/>
      </c>
      <c r="G144" s="40" t="str">
        <f aca="false">IF($A144="","",INDEX('Master Task List'!$N:$N,$A144))</f>
        <v/>
      </c>
      <c r="H144" s="38" t="str">
        <f aca="false">IF($A144="","",INDEX('Master Task List'!$L:$L,$A144))</f>
        <v/>
      </c>
      <c r="I144" s="0" t="str">
        <f aca="false">IF($A144="","",INDEX('Master Task List'!$P:$P,$A144))</f>
        <v/>
      </c>
    </row>
    <row r="145" customFormat="false" ht="15" hidden="false" customHeight="false" outlineLevel="0" collapsed="false">
      <c r="A145" s="0" t="str">
        <f aca="false">IFERROR(SMALL('Master Task List'!$U$2:$U$600,144),"")</f>
        <v/>
      </c>
      <c r="B145" s="0" t="str">
        <f aca="false">IF($A145="","",INDEX('Master Task List'!$D:$D,$A145))</f>
        <v/>
      </c>
      <c r="C145" s="0" t="str">
        <f aca="false">IF($A145="","",INDEX('Master Task List'!$B:$B,$A145))</f>
        <v/>
      </c>
      <c r="D145" s="0" t="str">
        <f aca="false">IF($A145="","",INDEX('Master Task List'!$F:$F,$A145))</f>
        <v/>
      </c>
      <c r="E145" s="39" t="str">
        <f aca="false">IF($A145="","",INDEX('Master Task List'!$G:$G,$A145))</f>
        <v/>
      </c>
      <c r="F145" s="0" t="str">
        <f aca="false">IF($A145="","",INDEX('Master Task List'!$I:$I,$A145))</f>
        <v/>
      </c>
      <c r="G145" s="40" t="str">
        <f aca="false">IF($A145="","",INDEX('Master Task List'!$N:$N,$A145))</f>
        <v/>
      </c>
      <c r="H145" s="38" t="str">
        <f aca="false">IF($A145="","",INDEX('Master Task List'!$L:$L,$A145))</f>
        <v/>
      </c>
      <c r="I145" s="0" t="str">
        <f aca="false">IF($A145="","",INDEX('Master Task List'!$P:$P,$A145))</f>
        <v/>
      </c>
    </row>
    <row r="146" customFormat="false" ht="15" hidden="false" customHeight="false" outlineLevel="0" collapsed="false">
      <c r="A146" s="0" t="str">
        <f aca="false">IFERROR(SMALL('Master Task List'!$U$2:$U$600,145),"")</f>
        <v/>
      </c>
      <c r="B146" s="0" t="str">
        <f aca="false">IF($A146="","",INDEX('Master Task List'!$D:$D,$A146))</f>
        <v/>
      </c>
      <c r="C146" s="0" t="str">
        <f aca="false">IF($A146="","",INDEX('Master Task List'!$B:$B,$A146))</f>
        <v/>
      </c>
      <c r="D146" s="0" t="str">
        <f aca="false">IF($A146="","",INDEX('Master Task List'!$F:$F,$A146))</f>
        <v/>
      </c>
      <c r="E146" s="39" t="str">
        <f aca="false">IF($A146="","",INDEX('Master Task List'!$G:$G,$A146))</f>
        <v/>
      </c>
      <c r="F146" s="0" t="str">
        <f aca="false">IF($A146="","",INDEX('Master Task List'!$I:$I,$A146))</f>
        <v/>
      </c>
      <c r="G146" s="40" t="str">
        <f aca="false">IF($A146="","",INDEX('Master Task List'!$N:$N,$A146))</f>
        <v/>
      </c>
      <c r="H146" s="38" t="str">
        <f aca="false">IF($A146="","",INDEX('Master Task List'!$L:$L,$A146))</f>
        <v/>
      </c>
      <c r="I146" s="0" t="str">
        <f aca="false">IF($A146="","",INDEX('Master Task List'!$P:$P,$A146))</f>
        <v/>
      </c>
    </row>
    <row r="147" customFormat="false" ht="15" hidden="false" customHeight="false" outlineLevel="0" collapsed="false">
      <c r="A147" s="0" t="str">
        <f aca="false">IFERROR(SMALL('Master Task List'!$U$2:$U$600,146),"")</f>
        <v/>
      </c>
      <c r="B147" s="0" t="str">
        <f aca="false">IF($A147="","",INDEX('Master Task List'!$D:$D,$A147))</f>
        <v/>
      </c>
      <c r="C147" s="0" t="str">
        <f aca="false">IF($A147="","",INDEX('Master Task List'!$B:$B,$A147))</f>
        <v/>
      </c>
      <c r="D147" s="0" t="str">
        <f aca="false">IF($A147="","",INDEX('Master Task List'!$F:$F,$A147))</f>
        <v/>
      </c>
      <c r="E147" s="39" t="str">
        <f aca="false">IF($A147="","",INDEX('Master Task List'!$G:$G,$A147))</f>
        <v/>
      </c>
      <c r="F147" s="0" t="str">
        <f aca="false">IF($A147="","",INDEX('Master Task List'!$I:$I,$A147))</f>
        <v/>
      </c>
      <c r="G147" s="40" t="str">
        <f aca="false">IF($A147="","",INDEX('Master Task List'!$N:$N,$A147))</f>
        <v/>
      </c>
      <c r="H147" s="38" t="str">
        <f aca="false">IF($A147="","",INDEX('Master Task List'!$L:$L,$A147))</f>
        <v/>
      </c>
      <c r="I147" s="0" t="str">
        <f aca="false">IF($A147="","",INDEX('Master Task List'!$P:$P,$A147))</f>
        <v/>
      </c>
    </row>
    <row r="148" customFormat="false" ht="15" hidden="false" customHeight="false" outlineLevel="0" collapsed="false">
      <c r="A148" s="0" t="str">
        <f aca="false">IFERROR(SMALL('Master Task List'!$U$2:$U$600,147),"")</f>
        <v/>
      </c>
      <c r="B148" s="0" t="str">
        <f aca="false">IF($A148="","",INDEX('Master Task List'!$D:$D,$A148))</f>
        <v/>
      </c>
      <c r="C148" s="0" t="str">
        <f aca="false">IF($A148="","",INDEX('Master Task List'!$B:$B,$A148))</f>
        <v/>
      </c>
      <c r="D148" s="0" t="str">
        <f aca="false">IF($A148="","",INDEX('Master Task List'!$F:$F,$A148))</f>
        <v/>
      </c>
      <c r="E148" s="39" t="str">
        <f aca="false">IF($A148="","",INDEX('Master Task List'!$G:$G,$A148))</f>
        <v/>
      </c>
      <c r="F148" s="0" t="str">
        <f aca="false">IF($A148="","",INDEX('Master Task List'!$I:$I,$A148))</f>
        <v/>
      </c>
      <c r="G148" s="40" t="str">
        <f aca="false">IF($A148="","",INDEX('Master Task List'!$N:$N,$A148))</f>
        <v/>
      </c>
      <c r="H148" s="38" t="str">
        <f aca="false">IF($A148="","",INDEX('Master Task List'!$L:$L,$A148))</f>
        <v/>
      </c>
      <c r="I148" s="0" t="str">
        <f aca="false">IF($A148="","",INDEX('Master Task List'!$P:$P,$A148))</f>
        <v/>
      </c>
    </row>
    <row r="149" customFormat="false" ht="15" hidden="false" customHeight="false" outlineLevel="0" collapsed="false">
      <c r="A149" s="0" t="str">
        <f aca="false">IFERROR(SMALL('Master Task List'!$U$2:$U$600,148),"")</f>
        <v/>
      </c>
      <c r="B149" s="0" t="str">
        <f aca="false">IF($A149="","",INDEX('Master Task List'!$D:$D,$A149))</f>
        <v/>
      </c>
      <c r="C149" s="0" t="str">
        <f aca="false">IF($A149="","",INDEX('Master Task List'!$B:$B,$A149))</f>
        <v/>
      </c>
      <c r="D149" s="0" t="str">
        <f aca="false">IF($A149="","",INDEX('Master Task List'!$F:$F,$A149))</f>
        <v/>
      </c>
      <c r="E149" s="39" t="str">
        <f aca="false">IF($A149="","",INDEX('Master Task List'!$G:$G,$A149))</f>
        <v/>
      </c>
      <c r="F149" s="0" t="str">
        <f aca="false">IF($A149="","",INDEX('Master Task List'!$I:$I,$A149))</f>
        <v/>
      </c>
      <c r="G149" s="40" t="str">
        <f aca="false">IF($A149="","",INDEX('Master Task List'!$N:$N,$A149))</f>
        <v/>
      </c>
      <c r="H149" s="38" t="str">
        <f aca="false">IF($A149="","",INDEX('Master Task List'!$L:$L,$A149))</f>
        <v/>
      </c>
      <c r="I149" s="0" t="str">
        <f aca="false">IF($A149="","",INDEX('Master Task List'!$P:$P,$A149))</f>
        <v/>
      </c>
    </row>
    <row r="150" customFormat="false" ht="15" hidden="false" customHeight="false" outlineLevel="0" collapsed="false">
      <c r="A150" s="0" t="str">
        <f aca="false">IFERROR(SMALL('Master Task List'!$U$2:$U$600,149),"")</f>
        <v/>
      </c>
      <c r="B150" s="0" t="str">
        <f aca="false">IF($A150="","",INDEX('Master Task List'!$D:$D,$A150))</f>
        <v/>
      </c>
      <c r="C150" s="0" t="str">
        <f aca="false">IF($A150="","",INDEX('Master Task List'!$B:$B,$A150))</f>
        <v/>
      </c>
      <c r="D150" s="0" t="str">
        <f aca="false">IF($A150="","",INDEX('Master Task List'!$F:$F,$A150))</f>
        <v/>
      </c>
      <c r="E150" s="39" t="str">
        <f aca="false">IF($A150="","",INDEX('Master Task List'!$G:$G,$A150))</f>
        <v/>
      </c>
      <c r="F150" s="0" t="str">
        <f aca="false">IF($A150="","",INDEX('Master Task List'!$I:$I,$A150))</f>
        <v/>
      </c>
      <c r="G150" s="40" t="str">
        <f aca="false">IF($A150="","",INDEX('Master Task List'!$N:$N,$A150))</f>
        <v/>
      </c>
      <c r="H150" s="38" t="str">
        <f aca="false">IF($A150="","",INDEX('Master Task List'!$L:$L,$A150))</f>
        <v/>
      </c>
      <c r="I150" s="0" t="str">
        <f aca="false">IF($A150="","",INDEX('Master Task List'!$P:$P,$A150))</f>
        <v/>
      </c>
    </row>
    <row r="151" customFormat="false" ht="15" hidden="false" customHeight="false" outlineLevel="0" collapsed="false">
      <c r="A151" s="0" t="str">
        <f aca="false">IFERROR(SMALL('Master Task List'!$U$2:$U$600,150),"")</f>
        <v/>
      </c>
      <c r="B151" s="0" t="str">
        <f aca="false">IF($A151="","",INDEX('Master Task List'!$D:$D,$A151))</f>
        <v/>
      </c>
      <c r="C151" s="0" t="str">
        <f aca="false">IF($A151="","",INDEX('Master Task List'!$B:$B,$A151))</f>
        <v/>
      </c>
      <c r="D151" s="0" t="str">
        <f aca="false">IF($A151="","",INDEX('Master Task List'!$F:$F,$A151))</f>
        <v/>
      </c>
      <c r="E151" s="39" t="str">
        <f aca="false">IF($A151="","",INDEX('Master Task List'!$G:$G,$A151))</f>
        <v/>
      </c>
      <c r="F151" s="0" t="str">
        <f aca="false">IF($A151="","",INDEX('Master Task List'!$I:$I,$A151))</f>
        <v/>
      </c>
      <c r="G151" s="40" t="str">
        <f aca="false">IF($A151="","",INDEX('Master Task List'!$N:$N,$A151))</f>
        <v/>
      </c>
      <c r="H151" s="38" t="str">
        <f aca="false">IF($A151="","",INDEX('Master Task List'!$L:$L,$A151))</f>
        <v/>
      </c>
      <c r="I151" s="0" t="str">
        <f aca="false">IF($A151="","",INDEX('Master Task List'!$P:$P,$A151))</f>
        <v/>
      </c>
    </row>
    <row r="152" customFormat="false" ht="15" hidden="false" customHeight="false" outlineLevel="0" collapsed="false">
      <c r="A152" s="0" t="str">
        <f aca="false">IFERROR(SMALL('Master Task List'!$U$2:$U$600,151),"")</f>
        <v/>
      </c>
      <c r="B152" s="0" t="str">
        <f aca="false">IF($A152="","",INDEX('Master Task List'!$D:$D,$A152))</f>
        <v/>
      </c>
      <c r="C152" s="0" t="str">
        <f aca="false">IF($A152="","",INDEX('Master Task List'!$B:$B,$A152))</f>
        <v/>
      </c>
      <c r="D152" s="0" t="str">
        <f aca="false">IF($A152="","",INDEX('Master Task List'!$F:$F,$A152))</f>
        <v/>
      </c>
      <c r="E152" s="39" t="str">
        <f aca="false">IF($A152="","",INDEX('Master Task List'!$G:$G,$A152))</f>
        <v/>
      </c>
      <c r="F152" s="0" t="str">
        <f aca="false">IF($A152="","",INDEX('Master Task List'!$I:$I,$A152))</f>
        <v/>
      </c>
      <c r="G152" s="40" t="str">
        <f aca="false">IF($A152="","",INDEX('Master Task List'!$N:$N,$A152))</f>
        <v/>
      </c>
      <c r="H152" s="38" t="str">
        <f aca="false">IF($A152="","",INDEX('Master Task List'!$L:$L,$A152))</f>
        <v/>
      </c>
      <c r="I152" s="0" t="str">
        <f aca="false">IF($A152="","",INDEX('Master Task List'!$P:$P,$A152))</f>
        <v/>
      </c>
    </row>
    <row r="153" customFormat="false" ht="15" hidden="false" customHeight="false" outlineLevel="0" collapsed="false">
      <c r="A153" s="0" t="str">
        <f aca="false">IFERROR(SMALL('Master Task List'!$U$2:$U$600,152),"")</f>
        <v/>
      </c>
      <c r="B153" s="0" t="str">
        <f aca="false">IF($A153="","",INDEX('Master Task List'!$D:$D,$A153))</f>
        <v/>
      </c>
      <c r="C153" s="0" t="str">
        <f aca="false">IF($A153="","",INDEX('Master Task List'!$B:$B,$A153))</f>
        <v/>
      </c>
      <c r="D153" s="0" t="str">
        <f aca="false">IF($A153="","",INDEX('Master Task List'!$F:$F,$A153))</f>
        <v/>
      </c>
      <c r="E153" s="39" t="str">
        <f aca="false">IF($A153="","",INDEX('Master Task List'!$G:$G,$A153))</f>
        <v/>
      </c>
      <c r="F153" s="0" t="str">
        <f aca="false">IF($A153="","",INDEX('Master Task List'!$I:$I,$A153))</f>
        <v/>
      </c>
      <c r="G153" s="40" t="str">
        <f aca="false">IF($A153="","",INDEX('Master Task List'!$N:$N,$A153))</f>
        <v/>
      </c>
      <c r="H153" s="38" t="str">
        <f aca="false">IF($A153="","",INDEX('Master Task List'!$L:$L,$A153))</f>
        <v/>
      </c>
      <c r="I153" s="0" t="str">
        <f aca="false">IF($A153="","",INDEX('Master Task List'!$P:$P,$A153))</f>
        <v/>
      </c>
    </row>
    <row r="154" customFormat="false" ht="15" hidden="false" customHeight="false" outlineLevel="0" collapsed="false">
      <c r="A154" s="0" t="str">
        <f aca="false">IFERROR(SMALL('Master Task List'!$U$2:$U$600,153),"")</f>
        <v/>
      </c>
      <c r="B154" s="0" t="str">
        <f aca="false">IF($A154="","",INDEX('Master Task List'!$D:$D,$A154))</f>
        <v/>
      </c>
      <c r="C154" s="0" t="str">
        <f aca="false">IF($A154="","",INDEX('Master Task List'!$B:$B,$A154))</f>
        <v/>
      </c>
      <c r="D154" s="0" t="str">
        <f aca="false">IF($A154="","",INDEX('Master Task List'!$F:$F,$A154))</f>
        <v/>
      </c>
      <c r="E154" s="39" t="str">
        <f aca="false">IF($A154="","",INDEX('Master Task List'!$G:$G,$A154))</f>
        <v/>
      </c>
      <c r="F154" s="0" t="str">
        <f aca="false">IF($A154="","",INDEX('Master Task List'!$I:$I,$A154))</f>
        <v/>
      </c>
      <c r="G154" s="40" t="str">
        <f aca="false">IF($A154="","",INDEX('Master Task List'!$N:$N,$A154))</f>
        <v/>
      </c>
      <c r="H154" s="38" t="str">
        <f aca="false">IF($A154="","",INDEX('Master Task List'!$L:$L,$A154))</f>
        <v/>
      </c>
      <c r="I154" s="0" t="str">
        <f aca="false">IF($A154="","",INDEX('Master Task List'!$P:$P,$A154))</f>
        <v/>
      </c>
    </row>
    <row r="155" customFormat="false" ht="15" hidden="false" customHeight="false" outlineLevel="0" collapsed="false">
      <c r="A155" s="0" t="str">
        <f aca="false">IFERROR(SMALL('Master Task List'!$U$2:$U$600,154),"")</f>
        <v/>
      </c>
      <c r="B155" s="0" t="str">
        <f aca="false">IF($A155="","",INDEX('Master Task List'!$D:$D,$A155))</f>
        <v/>
      </c>
      <c r="C155" s="0" t="str">
        <f aca="false">IF($A155="","",INDEX('Master Task List'!$B:$B,$A155))</f>
        <v/>
      </c>
      <c r="D155" s="0" t="str">
        <f aca="false">IF($A155="","",INDEX('Master Task List'!$F:$F,$A155))</f>
        <v/>
      </c>
      <c r="E155" s="39" t="str">
        <f aca="false">IF($A155="","",INDEX('Master Task List'!$G:$G,$A155))</f>
        <v/>
      </c>
      <c r="F155" s="0" t="str">
        <f aca="false">IF($A155="","",INDEX('Master Task List'!$I:$I,$A155))</f>
        <v/>
      </c>
      <c r="G155" s="40" t="str">
        <f aca="false">IF($A155="","",INDEX('Master Task List'!$N:$N,$A155))</f>
        <v/>
      </c>
      <c r="H155" s="38" t="str">
        <f aca="false">IF($A155="","",INDEX('Master Task List'!$L:$L,$A155))</f>
        <v/>
      </c>
      <c r="I155" s="0" t="str">
        <f aca="false">IF($A155="","",INDEX('Master Task List'!$P:$P,$A155))</f>
        <v/>
      </c>
    </row>
    <row r="156" customFormat="false" ht="15" hidden="false" customHeight="false" outlineLevel="0" collapsed="false">
      <c r="A156" s="0" t="str">
        <f aca="false">IFERROR(SMALL('Master Task List'!$U$2:$U$600,155),"")</f>
        <v/>
      </c>
      <c r="B156" s="0" t="str">
        <f aca="false">IF($A156="","",INDEX('Master Task List'!$D:$D,$A156))</f>
        <v/>
      </c>
      <c r="C156" s="0" t="str">
        <f aca="false">IF($A156="","",INDEX('Master Task List'!$B:$B,$A156))</f>
        <v/>
      </c>
      <c r="D156" s="0" t="str">
        <f aca="false">IF($A156="","",INDEX('Master Task List'!$F:$F,$A156))</f>
        <v/>
      </c>
      <c r="E156" s="39" t="str">
        <f aca="false">IF($A156="","",INDEX('Master Task List'!$G:$G,$A156))</f>
        <v/>
      </c>
      <c r="F156" s="0" t="str">
        <f aca="false">IF($A156="","",INDEX('Master Task List'!$I:$I,$A156))</f>
        <v/>
      </c>
      <c r="G156" s="40" t="str">
        <f aca="false">IF($A156="","",INDEX('Master Task List'!$N:$N,$A156))</f>
        <v/>
      </c>
      <c r="H156" s="38" t="str">
        <f aca="false">IF($A156="","",INDEX('Master Task List'!$L:$L,$A156))</f>
        <v/>
      </c>
      <c r="I156" s="0" t="str">
        <f aca="false">IF($A156="","",INDEX('Master Task List'!$P:$P,$A156))</f>
        <v/>
      </c>
    </row>
    <row r="157" customFormat="false" ht="15" hidden="false" customHeight="false" outlineLevel="0" collapsed="false">
      <c r="A157" s="0" t="str">
        <f aca="false">IFERROR(SMALL('Master Task List'!$U$2:$U$600,156),"")</f>
        <v/>
      </c>
      <c r="B157" s="0" t="str">
        <f aca="false">IF($A157="","",INDEX('Master Task List'!$D:$D,$A157))</f>
        <v/>
      </c>
      <c r="C157" s="0" t="str">
        <f aca="false">IF($A157="","",INDEX('Master Task List'!$B:$B,$A157))</f>
        <v/>
      </c>
      <c r="D157" s="0" t="str">
        <f aca="false">IF($A157="","",INDEX('Master Task List'!$F:$F,$A157))</f>
        <v/>
      </c>
      <c r="E157" s="39" t="str">
        <f aca="false">IF($A157="","",INDEX('Master Task List'!$G:$G,$A157))</f>
        <v/>
      </c>
      <c r="F157" s="0" t="str">
        <f aca="false">IF($A157="","",INDEX('Master Task List'!$I:$I,$A157))</f>
        <v/>
      </c>
      <c r="G157" s="40" t="str">
        <f aca="false">IF($A157="","",INDEX('Master Task List'!$N:$N,$A157))</f>
        <v/>
      </c>
      <c r="H157" s="38" t="str">
        <f aca="false">IF($A157="","",INDEX('Master Task List'!$L:$L,$A157))</f>
        <v/>
      </c>
      <c r="I157" s="0" t="str">
        <f aca="false">IF($A157="","",INDEX('Master Task List'!$P:$P,$A157))</f>
        <v/>
      </c>
    </row>
    <row r="158" customFormat="false" ht="15" hidden="false" customHeight="false" outlineLevel="0" collapsed="false">
      <c r="A158" s="0" t="str">
        <f aca="false">IFERROR(SMALL('Master Task List'!$U$2:$U$600,157),"")</f>
        <v/>
      </c>
      <c r="B158" s="0" t="str">
        <f aca="false">IF($A158="","",INDEX('Master Task List'!$D:$D,$A158))</f>
        <v/>
      </c>
      <c r="C158" s="0" t="str">
        <f aca="false">IF($A158="","",INDEX('Master Task List'!$B:$B,$A158))</f>
        <v/>
      </c>
      <c r="D158" s="0" t="str">
        <f aca="false">IF($A158="","",INDEX('Master Task List'!$F:$F,$A158))</f>
        <v/>
      </c>
      <c r="E158" s="39" t="str">
        <f aca="false">IF($A158="","",INDEX('Master Task List'!$G:$G,$A158))</f>
        <v/>
      </c>
      <c r="F158" s="0" t="str">
        <f aca="false">IF($A158="","",INDEX('Master Task List'!$I:$I,$A158))</f>
        <v/>
      </c>
      <c r="G158" s="40" t="str">
        <f aca="false">IF($A158="","",INDEX('Master Task List'!$N:$N,$A158))</f>
        <v/>
      </c>
      <c r="H158" s="38" t="str">
        <f aca="false">IF($A158="","",INDEX('Master Task List'!$L:$L,$A158))</f>
        <v/>
      </c>
      <c r="I158" s="0" t="str">
        <f aca="false">IF($A158="","",INDEX('Master Task List'!$P:$P,$A158))</f>
        <v/>
      </c>
    </row>
    <row r="159" customFormat="false" ht="15" hidden="false" customHeight="false" outlineLevel="0" collapsed="false">
      <c r="A159" s="0" t="str">
        <f aca="false">IFERROR(SMALL('Master Task List'!$U$2:$U$600,158),"")</f>
        <v/>
      </c>
      <c r="B159" s="0" t="str">
        <f aca="false">IF($A159="","",INDEX('Master Task List'!$D:$D,$A159))</f>
        <v/>
      </c>
      <c r="C159" s="0" t="str">
        <f aca="false">IF($A159="","",INDEX('Master Task List'!$B:$B,$A159))</f>
        <v/>
      </c>
      <c r="D159" s="0" t="str">
        <f aca="false">IF($A159="","",INDEX('Master Task List'!$F:$F,$A159))</f>
        <v/>
      </c>
      <c r="E159" s="39" t="str">
        <f aca="false">IF($A159="","",INDEX('Master Task List'!$G:$G,$A159))</f>
        <v/>
      </c>
      <c r="F159" s="0" t="str">
        <f aca="false">IF($A159="","",INDEX('Master Task List'!$I:$I,$A159))</f>
        <v/>
      </c>
      <c r="G159" s="40" t="str">
        <f aca="false">IF($A159="","",INDEX('Master Task List'!$N:$N,$A159))</f>
        <v/>
      </c>
      <c r="H159" s="38" t="str">
        <f aca="false">IF($A159="","",INDEX('Master Task List'!$L:$L,$A159))</f>
        <v/>
      </c>
      <c r="I159" s="0" t="str">
        <f aca="false">IF($A159="","",INDEX('Master Task List'!$P:$P,$A159))</f>
        <v/>
      </c>
    </row>
    <row r="160" customFormat="false" ht="15" hidden="false" customHeight="false" outlineLevel="0" collapsed="false">
      <c r="A160" s="0" t="str">
        <f aca="false">IFERROR(SMALL('Master Task List'!$U$2:$U$600,159),"")</f>
        <v/>
      </c>
      <c r="B160" s="0" t="str">
        <f aca="false">IF($A160="","",INDEX('Master Task List'!$D:$D,$A160))</f>
        <v/>
      </c>
      <c r="C160" s="0" t="str">
        <f aca="false">IF($A160="","",INDEX('Master Task List'!$B:$B,$A160))</f>
        <v/>
      </c>
      <c r="D160" s="0" t="str">
        <f aca="false">IF($A160="","",INDEX('Master Task List'!$F:$F,$A160))</f>
        <v/>
      </c>
      <c r="E160" s="39" t="str">
        <f aca="false">IF($A160="","",INDEX('Master Task List'!$G:$G,$A160))</f>
        <v/>
      </c>
      <c r="F160" s="0" t="str">
        <f aca="false">IF($A160="","",INDEX('Master Task List'!$I:$I,$A160))</f>
        <v/>
      </c>
      <c r="G160" s="40" t="str">
        <f aca="false">IF($A160="","",INDEX('Master Task List'!$N:$N,$A160))</f>
        <v/>
      </c>
      <c r="H160" s="38" t="str">
        <f aca="false">IF($A160="","",INDEX('Master Task List'!$L:$L,$A160))</f>
        <v/>
      </c>
      <c r="I160" s="0" t="str">
        <f aca="false">IF($A160="","",INDEX('Master Task List'!$P:$P,$A160))</f>
        <v/>
      </c>
    </row>
    <row r="161" customFormat="false" ht="15" hidden="false" customHeight="false" outlineLevel="0" collapsed="false">
      <c r="A161" s="0" t="str">
        <f aca="false">IFERROR(SMALL('Master Task List'!$U$2:$U$600,160),"")</f>
        <v/>
      </c>
      <c r="B161" s="0" t="str">
        <f aca="false">IF($A161="","",INDEX('Master Task List'!$D:$D,$A161))</f>
        <v/>
      </c>
      <c r="C161" s="0" t="str">
        <f aca="false">IF($A161="","",INDEX('Master Task List'!$B:$B,$A161))</f>
        <v/>
      </c>
      <c r="D161" s="0" t="str">
        <f aca="false">IF($A161="","",INDEX('Master Task List'!$F:$F,$A161))</f>
        <v/>
      </c>
      <c r="E161" s="39" t="str">
        <f aca="false">IF($A161="","",INDEX('Master Task List'!$G:$G,$A161))</f>
        <v/>
      </c>
      <c r="F161" s="0" t="str">
        <f aca="false">IF($A161="","",INDEX('Master Task List'!$I:$I,$A161))</f>
        <v/>
      </c>
      <c r="G161" s="40" t="str">
        <f aca="false">IF($A161="","",INDEX('Master Task List'!$N:$N,$A161))</f>
        <v/>
      </c>
      <c r="H161" s="38" t="str">
        <f aca="false">IF($A161="","",INDEX('Master Task List'!$L:$L,$A161))</f>
        <v/>
      </c>
      <c r="I161" s="0" t="str">
        <f aca="false">IF($A161="","",INDEX('Master Task List'!$P:$P,$A161))</f>
        <v/>
      </c>
    </row>
    <row r="162" customFormat="false" ht="15" hidden="false" customHeight="false" outlineLevel="0" collapsed="false">
      <c r="A162" s="0" t="str">
        <f aca="false">IFERROR(SMALL('Master Task List'!$U$2:$U$600,161),"")</f>
        <v/>
      </c>
      <c r="B162" s="0" t="str">
        <f aca="false">IF($A162="","",INDEX('Master Task List'!$D:$D,$A162))</f>
        <v/>
      </c>
      <c r="C162" s="0" t="str">
        <f aca="false">IF($A162="","",INDEX('Master Task List'!$B:$B,$A162))</f>
        <v/>
      </c>
      <c r="D162" s="0" t="str">
        <f aca="false">IF($A162="","",INDEX('Master Task List'!$F:$F,$A162))</f>
        <v/>
      </c>
      <c r="E162" s="39" t="str">
        <f aca="false">IF($A162="","",INDEX('Master Task List'!$G:$G,$A162))</f>
        <v/>
      </c>
      <c r="F162" s="0" t="str">
        <f aca="false">IF($A162="","",INDEX('Master Task List'!$I:$I,$A162))</f>
        <v/>
      </c>
      <c r="G162" s="40" t="str">
        <f aca="false">IF($A162="","",INDEX('Master Task List'!$N:$N,$A162))</f>
        <v/>
      </c>
      <c r="H162" s="38" t="str">
        <f aca="false">IF($A162="","",INDEX('Master Task List'!$L:$L,$A162))</f>
        <v/>
      </c>
      <c r="I162" s="0" t="str">
        <f aca="false">IF($A162="","",INDEX('Master Task List'!$P:$P,$A162))</f>
        <v/>
      </c>
    </row>
    <row r="163" customFormat="false" ht="15" hidden="false" customHeight="false" outlineLevel="0" collapsed="false">
      <c r="A163" s="0" t="str">
        <f aca="false">IFERROR(SMALL('Master Task List'!$U$2:$U$600,162),"")</f>
        <v/>
      </c>
      <c r="B163" s="0" t="str">
        <f aca="false">IF($A163="","",INDEX('Master Task List'!$D:$D,$A163))</f>
        <v/>
      </c>
      <c r="C163" s="0" t="str">
        <f aca="false">IF($A163="","",INDEX('Master Task List'!$B:$B,$A163))</f>
        <v/>
      </c>
      <c r="D163" s="0" t="str">
        <f aca="false">IF($A163="","",INDEX('Master Task List'!$F:$F,$A163))</f>
        <v/>
      </c>
      <c r="E163" s="39" t="str">
        <f aca="false">IF($A163="","",INDEX('Master Task List'!$G:$G,$A163))</f>
        <v/>
      </c>
      <c r="F163" s="0" t="str">
        <f aca="false">IF($A163="","",INDEX('Master Task List'!$I:$I,$A163))</f>
        <v/>
      </c>
      <c r="G163" s="40" t="str">
        <f aca="false">IF($A163="","",INDEX('Master Task List'!$N:$N,$A163))</f>
        <v/>
      </c>
      <c r="H163" s="38" t="str">
        <f aca="false">IF($A163="","",INDEX('Master Task List'!$L:$L,$A163))</f>
        <v/>
      </c>
      <c r="I163" s="0" t="str">
        <f aca="false">IF($A163="","",INDEX('Master Task List'!$P:$P,$A163))</f>
        <v/>
      </c>
    </row>
    <row r="164" customFormat="false" ht="15" hidden="false" customHeight="false" outlineLevel="0" collapsed="false">
      <c r="A164" s="0" t="str">
        <f aca="false">IFERROR(SMALL('Master Task List'!$U$2:$U$600,163),"")</f>
        <v/>
      </c>
      <c r="B164" s="0" t="str">
        <f aca="false">IF($A164="","",INDEX('Master Task List'!$D:$D,$A164))</f>
        <v/>
      </c>
      <c r="C164" s="0" t="str">
        <f aca="false">IF($A164="","",INDEX('Master Task List'!$B:$B,$A164))</f>
        <v/>
      </c>
      <c r="D164" s="0" t="str">
        <f aca="false">IF($A164="","",INDEX('Master Task List'!$F:$F,$A164))</f>
        <v/>
      </c>
      <c r="E164" s="39" t="str">
        <f aca="false">IF($A164="","",INDEX('Master Task List'!$G:$G,$A164))</f>
        <v/>
      </c>
      <c r="F164" s="0" t="str">
        <f aca="false">IF($A164="","",INDEX('Master Task List'!$I:$I,$A164))</f>
        <v/>
      </c>
      <c r="G164" s="40" t="str">
        <f aca="false">IF($A164="","",INDEX('Master Task List'!$N:$N,$A164))</f>
        <v/>
      </c>
      <c r="H164" s="38" t="str">
        <f aca="false">IF($A164="","",INDEX('Master Task List'!$L:$L,$A164))</f>
        <v/>
      </c>
      <c r="I164" s="0" t="str">
        <f aca="false">IF($A164="","",INDEX('Master Task List'!$P:$P,$A164))</f>
        <v/>
      </c>
    </row>
    <row r="165" customFormat="false" ht="15" hidden="false" customHeight="false" outlineLevel="0" collapsed="false">
      <c r="A165" s="0" t="str">
        <f aca="false">IFERROR(SMALL('Master Task List'!$U$2:$U$600,164),"")</f>
        <v/>
      </c>
      <c r="B165" s="0" t="str">
        <f aca="false">IF($A165="","",INDEX('Master Task List'!$D:$D,$A165))</f>
        <v/>
      </c>
      <c r="C165" s="0" t="str">
        <f aca="false">IF($A165="","",INDEX('Master Task List'!$B:$B,$A165))</f>
        <v/>
      </c>
      <c r="D165" s="0" t="str">
        <f aca="false">IF($A165="","",INDEX('Master Task List'!$F:$F,$A165))</f>
        <v/>
      </c>
      <c r="E165" s="39" t="str">
        <f aca="false">IF($A165="","",INDEX('Master Task List'!$G:$G,$A165))</f>
        <v/>
      </c>
      <c r="F165" s="0" t="str">
        <f aca="false">IF($A165="","",INDEX('Master Task List'!$I:$I,$A165))</f>
        <v/>
      </c>
      <c r="G165" s="40" t="str">
        <f aca="false">IF($A165="","",INDEX('Master Task List'!$N:$N,$A165))</f>
        <v/>
      </c>
      <c r="H165" s="38" t="str">
        <f aca="false">IF($A165="","",INDEX('Master Task List'!$L:$L,$A165))</f>
        <v/>
      </c>
      <c r="I165" s="0" t="str">
        <f aca="false">IF($A165="","",INDEX('Master Task List'!$P:$P,$A165))</f>
        <v/>
      </c>
    </row>
    <row r="166" customFormat="false" ht="15" hidden="false" customHeight="false" outlineLevel="0" collapsed="false">
      <c r="A166" s="0" t="str">
        <f aca="false">IFERROR(SMALL('Master Task List'!$U$2:$U$600,165),"")</f>
        <v/>
      </c>
      <c r="B166" s="0" t="str">
        <f aca="false">IF($A166="","",INDEX('Master Task List'!$D:$D,$A166))</f>
        <v/>
      </c>
      <c r="C166" s="0" t="str">
        <f aca="false">IF($A166="","",INDEX('Master Task List'!$B:$B,$A166))</f>
        <v/>
      </c>
      <c r="D166" s="0" t="str">
        <f aca="false">IF($A166="","",INDEX('Master Task List'!$F:$F,$A166))</f>
        <v/>
      </c>
      <c r="E166" s="39" t="str">
        <f aca="false">IF($A166="","",INDEX('Master Task List'!$G:$G,$A166))</f>
        <v/>
      </c>
      <c r="F166" s="0" t="str">
        <f aca="false">IF($A166="","",INDEX('Master Task List'!$I:$I,$A166))</f>
        <v/>
      </c>
      <c r="G166" s="40" t="str">
        <f aca="false">IF($A166="","",INDEX('Master Task List'!$N:$N,$A166))</f>
        <v/>
      </c>
      <c r="H166" s="38" t="str">
        <f aca="false">IF($A166="","",INDEX('Master Task List'!$L:$L,$A166))</f>
        <v/>
      </c>
      <c r="I166" s="0" t="str">
        <f aca="false">IF($A166="","",INDEX('Master Task List'!$P:$P,$A166))</f>
        <v/>
      </c>
    </row>
    <row r="167" customFormat="false" ht="15" hidden="false" customHeight="false" outlineLevel="0" collapsed="false">
      <c r="A167" s="0" t="str">
        <f aca="false">IFERROR(SMALL('Master Task List'!$U$2:$U$600,166),"")</f>
        <v/>
      </c>
      <c r="B167" s="0" t="str">
        <f aca="false">IF($A167="","",INDEX('Master Task List'!$D:$D,$A167))</f>
        <v/>
      </c>
      <c r="C167" s="0" t="str">
        <f aca="false">IF($A167="","",INDEX('Master Task List'!$B:$B,$A167))</f>
        <v/>
      </c>
      <c r="D167" s="0" t="str">
        <f aca="false">IF($A167="","",INDEX('Master Task List'!$F:$F,$A167))</f>
        <v/>
      </c>
      <c r="E167" s="39" t="str">
        <f aca="false">IF($A167="","",INDEX('Master Task List'!$G:$G,$A167))</f>
        <v/>
      </c>
      <c r="F167" s="0" t="str">
        <f aca="false">IF($A167="","",INDEX('Master Task List'!$I:$I,$A167))</f>
        <v/>
      </c>
      <c r="G167" s="40" t="str">
        <f aca="false">IF($A167="","",INDEX('Master Task List'!$N:$N,$A167))</f>
        <v/>
      </c>
      <c r="H167" s="38" t="str">
        <f aca="false">IF($A167="","",INDEX('Master Task List'!$L:$L,$A167))</f>
        <v/>
      </c>
      <c r="I167" s="0" t="str">
        <f aca="false">IF($A167="","",INDEX('Master Task List'!$P:$P,$A167))</f>
        <v/>
      </c>
    </row>
    <row r="168" customFormat="false" ht="15" hidden="false" customHeight="false" outlineLevel="0" collapsed="false">
      <c r="A168" s="0" t="str">
        <f aca="false">IFERROR(SMALL('Master Task List'!$U$2:$U$600,167),"")</f>
        <v/>
      </c>
      <c r="B168" s="0" t="str">
        <f aca="false">IF($A168="","",INDEX('Master Task List'!$D:$D,$A168))</f>
        <v/>
      </c>
      <c r="C168" s="0" t="str">
        <f aca="false">IF($A168="","",INDEX('Master Task List'!$B:$B,$A168))</f>
        <v/>
      </c>
      <c r="D168" s="0" t="str">
        <f aca="false">IF($A168="","",INDEX('Master Task List'!$F:$F,$A168))</f>
        <v/>
      </c>
      <c r="E168" s="39" t="str">
        <f aca="false">IF($A168="","",INDEX('Master Task List'!$G:$G,$A168))</f>
        <v/>
      </c>
      <c r="F168" s="0" t="str">
        <f aca="false">IF($A168="","",INDEX('Master Task List'!$I:$I,$A168))</f>
        <v/>
      </c>
      <c r="G168" s="40" t="str">
        <f aca="false">IF($A168="","",INDEX('Master Task List'!$N:$N,$A168))</f>
        <v/>
      </c>
      <c r="H168" s="38" t="str">
        <f aca="false">IF($A168="","",INDEX('Master Task List'!$L:$L,$A168))</f>
        <v/>
      </c>
      <c r="I168" s="0" t="str">
        <f aca="false">IF($A168="","",INDEX('Master Task List'!$P:$P,$A168))</f>
        <v/>
      </c>
    </row>
    <row r="169" customFormat="false" ht="15" hidden="false" customHeight="false" outlineLevel="0" collapsed="false">
      <c r="A169" s="0" t="str">
        <f aca="false">IFERROR(SMALL('Master Task List'!$U$2:$U$600,168),"")</f>
        <v/>
      </c>
      <c r="B169" s="0" t="str">
        <f aca="false">IF($A169="","",INDEX('Master Task List'!$D:$D,$A169))</f>
        <v/>
      </c>
      <c r="C169" s="0" t="str">
        <f aca="false">IF($A169="","",INDEX('Master Task List'!$B:$B,$A169))</f>
        <v/>
      </c>
      <c r="D169" s="0" t="str">
        <f aca="false">IF($A169="","",INDEX('Master Task List'!$F:$F,$A169))</f>
        <v/>
      </c>
      <c r="E169" s="39" t="str">
        <f aca="false">IF($A169="","",INDEX('Master Task List'!$G:$G,$A169))</f>
        <v/>
      </c>
      <c r="F169" s="0" t="str">
        <f aca="false">IF($A169="","",INDEX('Master Task List'!$I:$I,$A169))</f>
        <v/>
      </c>
      <c r="G169" s="40" t="str">
        <f aca="false">IF($A169="","",INDEX('Master Task List'!$N:$N,$A169))</f>
        <v/>
      </c>
      <c r="H169" s="38" t="str">
        <f aca="false">IF($A169="","",INDEX('Master Task List'!$L:$L,$A169))</f>
        <v/>
      </c>
      <c r="I169" s="0" t="str">
        <f aca="false">IF($A169="","",INDEX('Master Task List'!$P:$P,$A169))</f>
        <v/>
      </c>
    </row>
    <row r="170" customFormat="false" ht="15" hidden="false" customHeight="false" outlineLevel="0" collapsed="false">
      <c r="A170" s="0" t="str">
        <f aca="false">IFERROR(SMALL('Master Task List'!$U$2:$U$600,169),"")</f>
        <v/>
      </c>
      <c r="B170" s="0" t="str">
        <f aca="false">IF($A170="","",INDEX('Master Task List'!$D:$D,$A170))</f>
        <v/>
      </c>
      <c r="C170" s="0" t="str">
        <f aca="false">IF($A170="","",INDEX('Master Task List'!$B:$B,$A170))</f>
        <v/>
      </c>
      <c r="D170" s="0" t="str">
        <f aca="false">IF($A170="","",INDEX('Master Task List'!$F:$F,$A170))</f>
        <v/>
      </c>
      <c r="E170" s="39" t="str">
        <f aca="false">IF($A170="","",INDEX('Master Task List'!$G:$G,$A170))</f>
        <v/>
      </c>
      <c r="F170" s="0" t="str">
        <f aca="false">IF($A170="","",INDEX('Master Task List'!$I:$I,$A170))</f>
        <v/>
      </c>
      <c r="G170" s="40" t="str">
        <f aca="false">IF($A170="","",INDEX('Master Task List'!$N:$N,$A170))</f>
        <v/>
      </c>
      <c r="H170" s="38" t="str">
        <f aca="false">IF($A170="","",INDEX('Master Task List'!$L:$L,$A170))</f>
        <v/>
      </c>
      <c r="I170" s="0" t="str">
        <f aca="false">IF($A170="","",INDEX('Master Task List'!$P:$P,$A170))</f>
        <v/>
      </c>
    </row>
    <row r="171" customFormat="false" ht="15" hidden="false" customHeight="false" outlineLevel="0" collapsed="false">
      <c r="A171" s="0" t="str">
        <f aca="false">IFERROR(SMALL('Master Task List'!$U$2:$U$600,170),"")</f>
        <v/>
      </c>
      <c r="B171" s="0" t="str">
        <f aca="false">IF($A171="","",INDEX('Master Task List'!$D:$D,$A171))</f>
        <v/>
      </c>
      <c r="C171" s="0" t="str">
        <f aca="false">IF($A171="","",INDEX('Master Task List'!$B:$B,$A171))</f>
        <v/>
      </c>
      <c r="D171" s="0" t="str">
        <f aca="false">IF($A171="","",INDEX('Master Task List'!$F:$F,$A171))</f>
        <v/>
      </c>
      <c r="E171" s="39" t="str">
        <f aca="false">IF($A171="","",INDEX('Master Task List'!$G:$G,$A171))</f>
        <v/>
      </c>
      <c r="F171" s="0" t="str">
        <f aca="false">IF($A171="","",INDEX('Master Task List'!$I:$I,$A171))</f>
        <v/>
      </c>
      <c r="G171" s="40" t="str">
        <f aca="false">IF($A171="","",INDEX('Master Task List'!$N:$N,$A171))</f>
        <v/>
      </c>
      <c r="H171" s="38" t="str">
        <f aca="false">IF($A171="","",INDEX('Master Task List'!$L:$L,$A171))</f>
        <v/>
      </c>
      <c r="I171" s="0" t="str">
        <f aca="false">IF($A171="","",INDEX('Master Task List'!$P:$P,$A171))</f>
        <v/>
      </c>
    </row>
    <row r="172" customFormat="false" ht="15" hidden="false" customHeight="false" outlineLevel="0" collapsed="false">
      <c r="A172" s="0" t="str">
        <f aca="false">IFERROR(SMALL('Master Task List'!$U$2:$U$600,171),"")</f>
        <v/>
      </c>
      <c r="B172" s="0" t="str">
        <f aca="false">IF($A172="","",INDEX('Master Task List'!$D:$D,$A172))</f>
        <v/>
      </c>
      <c r="C172" s="0" t="str">
        <f aca="false">IF($A172="","",INDEX('Master Task List'!$B:$B,$A172))</f>
        <v/>
      </c>
      <c r="D172" s="0" t="str">
        <f aca="false">IF($A172="","",INDEX('Master Task List'!$F:$F,$A172))</f>
        <v/>
      </c>
      <c r="E172" s="39" t="str">
        <f aca="false">IF($A172="","",INDEX('Master Task List'!$G:$G,$A172))</f>
        <v/>
      </c>
      <c r="F172" s="0" t="str">
        <f aca="false">IF($A172="","",INDEX('Master Task List'!$I:$I,$A172))</f>
        <v/>
      </c>
      <c r="G172" s="40" t="str">
        <f aca="false">IF($A172="","",INDEX('Master Task List'!$N:$N,$A172))</f>
        <v/>
      </c>
      <c r="H172" s="38" t="str">
        <f aca="false">IF($A172="","",INDEX('Master Task List'!$L:$L,$A172))</f>
        <v/>
      </c>
      <c r="I172" s="0" t="str">
        <f aca="false">IF($A172="","",INDEX('Master Task List'!$P:$P,$A172))</f>
        <v/>
      </c>
    </row>
    <row r="173" customFormat="false" ht="15" hidden="false" customHeight="false" outlineLevel="0" collapsed="false">
      <c r="A173" s="0" t="str">
        <f aca="false">IFERROR(SMALL('Master Task List'!$U$2:$U$600,172),"")</f>
        <v/>
      </c>
      <c r="B173" s="0" t="str">
        <f aca="false">IF($A173="","",INDEX('Master Task List'!$D:$D,$A173))</f>
        <v/>
      </c>
      <c r="C173" s="0" t="str">
        <f aca="false">IF($A173="","",INDEX('Master Task List'!$B:$B,$A173))</f>
        <v/>
      </c>
      <c r="D173" s="0" t="str">
        <f aca="false">IF($A173="","",INDEX('Master Task List'!$F:$F,$A173))</f>
        <v/>
      </c>
      <c r="E173" s="39" t="str">
        <f aca="false">IF($A173="","",INDEX('Master Task List'!$G:$G,$A173))</f>
        <v/>
      </c>
      <c r="F173" s="0" t="str">
        <f aca="false">IF($A173="","",INDEX('Master Task List'!$I:$I,$A173))</f>
        <v/>
      </c>
      <c r="G173" s="40" t="str">
        <f aca="false">IF($A173="","",INDEX('Master Task List'!$N:$N,$A173))</f>
        <v/>
      </c>
      <c r="H173" s="38" t="str">
        <f aca="false">IF($A173="","",INDEX('Master Task List'!$L:$L,$A173))</f>
        <v/>
      </c>
      <c r="I173" s="0" t="str">
        <f aca="false">IF($A173="","",INDEX('Master Task List'!$P:$P,$A173))</f>
        <v/>
      </c>
    </row>
    <row r="174" customFormat="false" ht="15" hidden="false" customHeight="false" outlineLevel="0" collapsed="false">
      <c r="A174" s="0" t="str">
        <f aca="false">IFERROR(SMALL('Master Task List'!$U$2:$U$600,173),"")</f>
        <v/>
      </c>
      <c r="B174" s="0" t="str">
        <f aca="false">IF($A174="","",INDEX('Master Task List'!$D:$D,$A174))</f>
        <v/>
      </c>
      <c r="C174" s="0" t="str">
        <f aca="false">IF($A174="","",INDEX('Master Task List'!$B:$B,$A174))</f>
        <v/>
      </c>
      <c r="D174" s="0" t="str">
        <f aca="false">IF($A174="","",INDEX('Master Task List'!$F:$F,$A174))</f>
        <v/>
      </c>
      <c r="E174" s="39" t="str">
        <f aca="false">IF($A174="","",INDEX('Master Task List'!$G:$G,$A174))</f>
        <v/>
      </c>
      <c r="F174" s="0" t="str">
        <f aca="false">IF($A174="","",INDEX('Master Task List'!$I:$I,$A174))</f>
        <v/>
      </c>
      <c r="G174" s="40" t="str">
        <f aca="false">IF($A174="","",INDEX('Master Task List'!$N:$N,$A174))</f>
        <v/>
      </c>
      <c r="H174" s="38" t="str">
        <f aca="false">IF($A174="","",INDEX('Master Task List'!$L:$L,$A174))</f>
        <v/>
      </c>
      <c r="I174" s="0" t="str">
        <f aca="false">IF($A174="","",INDEX('Master Task List'!$P:$P,$A174))</f>
        <v/>
      </c>
    </row>
    <row r="175" customFormat="false" ht="15" hidden="false" customHeight="false" outlineLevel="0" collapsed="false">
      <c r="A175" s="0" t="str">
        <f aca="false">IFERROR(SMALL('Master Task List'!$U$2:$U$600,174),"")</f>
        <v/>
      </c>
      <c r="B175" s="0" t="str">
        <f aca="false">IF($A175="","",INDEX('Master Task List'!$D:$D,$A175))</f>
        <v/>
      </c>
      <c r="C175" s="0" t="str">
        <f aca="false">IF($A175="","",INDEX('Master Task List'!$B:$B,$A175))</f>
        <v/>
      </c>
      <c r="D175" s="0" t="str">
        <f aca="false">IF($A175="","",INDEX('Master Task List'!$F:$F,$A175))</f>
        <v/>
      </c>
      <c r="E175" s="39" t="str">
        <f aca="false">IF($A175="","",INDEX('Master Task List'!$G:$G,$A175))</f>
        <v/>
      </c>
      <c r="F175" s="0" t="str">
        <f aca="false">IF($A175="","",INDEX('Master Task List'!$I:$I,$A175))</f>
        <v/>
      </c>
      <c r="G175" s="40" t="str">
        <f aca="false">IF($A175="","",INDEX('Master Task List'!$N:$N,$A175))</f>
        <v/>
      </c>
      <c r="H175" s="38" t="str">
        <f aca="false">IF($A175="","",INDEX('Master Task List'!$L:$L,$A175))</f>
        <v/>
      </c>
      <c r="I175" s="0" t="str">
        <f aca="false">IF($A175="","",INDEX('Master Task List'!$P:$P,$A175))</f>
        <v/>
      </c>
    </row>
    <row r="176" customFormat="false" ht="15" hidden="false" customHeight="false" outlineLevel="0" collapsed="false">
      <c r="A176" s="0" t="str">
        <f aca="false">IFERROR(SMALL('Master Task List'!$U$2:$U$600,175),"")</f>
        <v/>
      </c>
      <c r="B176" s="0" t="str">
        <f aca="false">IF($A176="","",INDEX('Master Task List'!$D:$D,$A176))</f>
        <v/>
      </c>
      <c r="C176" s="0" t="str">
        <f aca="false">IF($A176="","",INDEX('Master Task List'!$B:$B,$A176))</f>
        <v/>
      </c>
      <c r="D176" s="0" t="str">
        <f aca="false">IF($A176="","",INDEX('Master Task List'!$F:$F,$A176))</f>
        <v/>
      </c>
      <c r="E176" s="39" t="str">
        <f aca="false">IF($A176="","",INDEX('Master Task List'!$G:$G,$A176))</f>
        <v/>
      </c>
      <c r="F176" s="0" t="str">
        <f aca="false">IF($A176="","",INDEX('Master Task List'!$I:$I,$A176))</f>
        <v/>
      </c>
      <c r="G176" s="40" t="str">
        <f aca="false">IF($A176="","",INDEX('Master Task List'!$N:$N,$A176))</f>
        <v/>
      </c>
      <c r="H176" s="38" t="str">
        <f aca="false">IF($A176="","",INDEX('Master Task List'!$L:$L,$A176))</f>
        <v/>
      </c>
      <c r="I176" s="0" t="str">
        <f aca="false">IF($A176="","",INDEX('Master Task List'!$P:$P,$A176))</f>
        <v/>
      </c>
    </row>
    <row r="177" customFormat="false" ht="15" hidden="false" customHeight="false" outlineLevel="0" collapsed="false">
      <c r="A177" s="0" t="str">
        <f aca="false">IFERROR(SMALL('Master Task List'!$U$2:$U$600,176),"")</f>
        <v/>
      </c>
      <c r="B177" s="0" t="str">
        <f aca="false">IF($A177="","",INDEX('Master Task List'!$D:$D,$A177))</f>
        <v/>
      </c>
      <c r="C177" s="0" t="str">
        <f aca="false">IF($A177="","",INDEX('Master Task List'!$B:$B,$A177))</f>
        <v/>
      </c>
      <c r="D177" s="0" t="str">
        <f aca="false">IF($A177="","",INDEX('Master Task List'!$F:$F,$A177))</f>
        <v/>
      </c>
      <c r="E177" s="39" t="str">
        <f aca="false">IF($A177="","",INDEX('Master Task List'!$G:$G,$A177))</f>
        <v/>
      </c>
      <c r="F177" s="0" t="str">
        <f aca="false">IF($A177="","",INDEX('Master Task List'!$I:$I,$A177))</f>
        <v/>
      </c>
      <c r="G177" s="40" t="str">
        <f aca="false">IF($A177="","",INDEX('Master Task List'!$N:$N,$A177))</f>
        <v/>
      </c>
      <c r="H177" s="38" t="str">
        <f aca="false">IF($A177="","",INDEX('Master Task List'!$L:$L,$A177))</f>
        <v/>
      </c>
      <c r="I177" s="0" t="str">
        <f aca="false">IF($A177="","",INDEX('Master Task List'!$P:$P,$A177))</f>
        <v/>
      </c>
    </row>
    <row r="178" customFormat="false" ht="15" hidden="false" customHeight="false" outlineLevel="0" collapsed="false">
      <c r="A178" s="0" t="str">
        <f aca="false">IFERROR(SMALL('Master Task List'!$U$2:$U$600,177),"")</f>
        <v/>
      </c>
      <c r="B178" s="0" t="str">
        <f aca="false">IF($A178="","",INDEX('Master Task List'!$D:$D,$A178))</f>
        <v/>
      </c>
      <c r="C178" s="0" t="str">
        <f aca="false">IF($A178="","",INDEX('Master Task List'!$B:$B,$A178))</f>
        <v/>
      </c>
      <c r="D178" s="0" t="str">
        <f aca="false">IF($A178="","",INDEX('Master Task List'!$F:$F,$A178))</f>
        <v/>
      </c>
      <c r="E178" s="39" t="str">
        <f aca="false">IF($A178="","",INDEX('Master Task List'!$G:$G,$A178))</f>
        <v/>
      </c>
      <c r="F178" s="0" t="str">
        <f aca="false">IF($A178="","",INDEX('Master Task List'!$I:$I,$A178))</f>
        <v/>
      </c>
      <c r="G178" s="40" t="str">
        <f aca="false">IF($A178="","",INDEX('Master Task List'!$N:$N,$A178))</f>
        <v/>
      </c>
      <c r="H178" s="38" t="str">
        <f aca="false">IF($A178="","",INDEX('Master Task List'!$L:$L,$A178))</f>
        <v/>
      </c>
      <c r="I178" s="0" t="str">
        <f aca="false">IF($A178="","",INDEX('Master Task List'!$P:$P,$A178))</f>
        <v/>
      </c>
    </row>
    <row r="179" customFormat="false" ht="15" hidden="false" customHeight="false" outlineLevel="0" collapsed="false">
      <c r="A179" s="0" t="str">
        <f aca="false">IFERROR(SMALL('Master Task List'!$U$2:$U$600,178),"")</f>
        <v/>
      </c>
      <c r="B179" s="0" t="str">
        <f aca="false">IF($A179="","",INDEX('Master Task List'!$D:$D,$A179))</f>
        <v/>
      </c>
      <c r="C179" s="0" t="str">
        <f aca="false">IF($A179="","",INDEX('Master Task List'!$B:$B,$A179))</f>
        <v/>
      </c>
      <c r="D179" s="0" t="str">
        <f aca="false">IF($A179="","",INDEX('Master Task List'!$F:$F,$A179))</f>
        <v/>
      </c>
      <c r="E179" s="39" t="str">
        <f aca="false">IF($A179="","",INDEX('Master Task List'!$G:$G,$A179))</f>
        <v/>
      </c>
      <c r="F179" s="0" t="str">
        <f aca="false">IF($A179="","",INDEX('Master Task List'!$I:$I,$A179))</f>
        <v/>
      </c>
      <c r="G179" s="40" t="str">
        <f aca="false">IF($A179="","",INDEX('Master Task List'!$N:$N,$A179))</f>
        <v/>
      </c>
      <c r="H179" s="38" t="str">
        <f aca="false">IF($A179="","",INDEX('Master Task List'!$L:$L,$A179))</f>
        <v/>
      </c>
      <c r="I179" s="0" t="str">
        <f aca="false">IF($A179="","",INDEX('Master Task List'!$P:$P,$A179))</f>
        <v/>
      </c>
    </row>
    <row r="180" customFormat="false" ht="15" hidden="false" customHeight="false" outlineLevel="0" collapsed="false">
      <c r="A180" s="0" t="str">
        <f aca="false">IFERROR(SMALL('Master Task List'!$U$2:$U$600,179),"")</f>
        <v/>
      </c>
      <c r="B180" s="0" t="str">
        <f aca="false">IF($A180="","",INDEX('Master Task List'!$D:$D,$A180))</f>
        <v/>
      </c>
      <c r="C180" s="0" t="str">
        <f aca="false">IF($A180="","",INDEX('Master Task List'!$B:$B,$A180))</f>
        <v/>
      </c>
      <c r="D180" s="0" t="str">
        <f aca="false">IF($A180="","",INDEX('Master Task List'!$F:$F,$A180))</f>
        <v/>
      </c>
      <c r="E180" s="39" t="str">
        <f aca="false">IF($A180="","",INDEX('Master Task List'!$G:$G,$A180))</f>
        <v/>
      </c>
      <c r="F180" s="0" t="str">
        <f aca="false">IF($A180="","",INDEX('Master Task List'!$I:$I,$A180))</f>
        <v/>
      </c>
      <c r="G180" s="40" t="str">
        <f aca="false">IF($A180="","",INDEX('Master Task List'!$N:$N,$A180))</f>
        <v/>
      </c>
      <c r="H180" s="38" t="str">
        <f aca="false">IF($A180="","",INDEX('Master Task List'!$L:$L,$A180))</f>
        <v/>
      </c>
      <c r="I180" s="0" t="str">
        <f aca="false">IF($A180="","",INDEX('Master Task List'!$P:$P,$A180))</f>
        <v/>
      </c>
    </row>
    <row r="181" customFormat="false" ht="15" hidden="false" customHeight="false" outlineLevel="0" collapsed="false">
      <c r="A181" s="0" t="str">
        <f aca="false">IFERROR(SMALL('Master Task List'!$U$2:$U$600,180),"")</f>
        <v/>
      </c>
      <c r="B181" s="0" t="str">
        <f aca="false">IF($A181="","",INDEX('Master Task List'!$D:$D,$A181))</f>
        <v/>
      </c>
      <c r="C181" s="0" t="str">
        <f aca="false">IF($A181="","",INDEX('Master Task List'!$B:$B,$A181))</f>
        <v/>
      </c>
      <c r="D181" s="0" t="str">
        <f aca="false">IF($A181="","",INDEX('Master Task List'!$F:$F,$A181))</f>
        <v/>
      </c>
      <c r="E181" s="39" t="str">
        <f aca="false">IF($A181="","",INDEX('Master Task List'!$G:$G,$A181))</f>
        <v/>
      </c>
      <c r="F181" s="0" t="str">
        <f aca="false">IF($A181="","",INDEX('Master Task List'!$I:$I,$A181))</f>
        <v/>
      </c>
      <c r="G181" s="40" t="str">
        <f aca="false">IF($A181="","",INDEX('Master Task List'!$N:$N,$A181))</f>
        <v/>
      </c>
      <c r="H181" s="38" t="str">
        <f aca="false">IF($A181="","",INDEX('Master Task List'!$L:$L,$A181))</f>
        <v/>
      </c>
      <c r="I181" s="0" t="str">
        <f aca="false">IF($A181="","",INDEX('Master Task List'!$P:$P,$A181))</f>
        <v/>
      </c>
    </row>
    <row r="182" customFormat="false" ht="15" hidden="false" customHeight="false" outlineLevel="0" collapsed="false">
      <c r="A182" s="0" t="str">
        <f aca="false">IFERROR(SMALL('Master Task List'!$U$2:$U$600,181),"")</f>
        <v/>
      </c>
      <c r="B182" s="0" t="str">
        <f aca="false">IF($A182="","",INDEX('Master Task List'!$D:$D,$A182))</f>
        <v/>
      </c>
      <c r="C182" s="0" t="str">
        <f aca="false">IF($A182="","",INDEX('Master Task List'!$B:$B,$A182))</f>
        <v/>
      </c>
      <c r="D182" s="0" t="str">
        <f aca="false">IF($A182="","",INDEX('Master Task List'!$F:$F,$A182))</f>
        <v/>
      </c>
      <c r="E182" s="39" t="str">
        <f aca="false">IF($A182="","",INDEX('Master Task List'!$G:$G,$A182))</f>
        <v/>
      </c>
      <c r="F182" s="0" t="str">
        <f aca="false">IF($A182="","",INDEX('Master Task List'!$I:$I,$A182))</f>
        <v/>
      </c>
      <c r="G182" s="40" t="str">
        <f aca="false">IF($A182="","",INDEX('Master Task List'!$N:$N,$A182))</f>
        <v/>
      </c>
      <c r="H182" s="38" t="str">
        <f aca="false">IF($A182="","",INDEX('Master Task List'!$L:$L,$A182))</f>
        <v/>
      </c>
      <c r="I182" s="0" t="str">
        <f aca="false">IF($A182="","",INDEX('Master Task List'!$P:$P,$A182))</f>
        <v/>
      </c>
    </row>
    <row r="183" customFormat="false" ht="15" hidden="false" customHeight="false" outlineLevel="0" collapsed="false">
      <c r="A183" s="0" t="str">
        <f aca="false">IFERROR(SMALL('Master Task List'!$U$2:$U$600,182),"")</f>
        <v/>
      </c>
      <c r="B183" s="0" t="str">
        <f aca="false">IF($A183="","",INDEX('Master Task List'!$D:$D,$A183))</f>
        <v/>
      </c>
      <c r="C183" s="0" t="str">
        <f aca="false">IF($A183="","",INDEX('Master Task List'!$B:$B,$A183))</f>
        <v/>
      </c>
      <c r="D183" s="0" t="str">
        <f aca="false">IF($A183="","",INDEX('Master Task List'!$F:$F,$A183))</f>
        <v/>
      </c>
      <c r="E183" s="39" t="str">
        <f aca="false">IF($A183="","",INDEX('Master Task List'!$G:$G,$A183))</f>
        <v/>
      </c>
      <c r="F183" s="0" t="str">
        <f aca="false">IF($A183="","",INDEX('Master Task List'!$I:$I,$A183))</f>
        <v/>
      </c>
      <c r="G183" s="40" t="str">
        <f aca="false">IF($A183="","",INDEX('Master Task List'!$N:$N,$A183))</f>
        <v/>
      </c>
      <c r="H183" s="38" t="str">
        <f aca="false">IF($A183="","",INDEX('Master Task List'!$L:$L,$A183))</f>
        <v/>
      </c>
      <c r="I183" s="0" t="str">
        <f aca="false">IF($A183="","",INDEX('Master Task List'!$P:$P,$A183))</f>
        <v/>
      </c>
    </row>
    <row r="184" customFormat="false" ht="15" hidden="false" customHeight="false" outlineLevel="0" collapsed="false">
      <c r="A184" s="0" t="str">
        <f aca="false">IFERROR(SMALL('Master Task List'!$U$2:$U$600,183),"")</f>
        <v/>
      </c>
      <c r="B184" s="0" t="str">
        <f aca="false">IF($A184="","",INDEX('Master Task List'!$D:$D,$A184))</f>
        <v/>
      </c>
      <c r="C184" s="0" t="str">
        <f aca="false">IF($A184="","",INDEX('Master Task List'!$B:$B,$A184))</f>
        <v/>
      </c>
      <c r="D184" s="0" t="str">
        <f aca="false">IF($A184="","",INDEX('Master Task List'!$F:$F,$A184))</f>
        <v/>
      </c>
      <c r="E184" s="39" t="str">
        <f aca="false">IF($A184="","",INDEX('Master Task List'!$G:$G,$A184))</f>
        <v/>
      </c>
      <c r="F184" s="0" t="str">
        <f aca="false">IF($A184="","",INDEX('Master Task List'!$I:$I,$A184))</f>
        <v/>
      </c>
      <c r="G184" s="40" t="str">
        <f aca="false">IF($A184="","",INDEX('Master Task List'!$N:$N,$A184))</f>
        <v/>
      </c>
      <c r="H184" s="38" t="str">
        <f aca="false">IF($A184="","",INDEX('Master Task List'!$L:$L,$A184))</f>
        <v/>
      </c>
      <c r="I184" s="0" t="str">
        <f aca="false">IF($A184="","",INDEX('Master Task List'!$P:$P,$A184))</f>
        <v/>
      </c>
    </row>
    <row r="185" customFormat="false" ht="15" hidden="false" customHeight="false" outlineLevel="0" collapsed="false">
      <c r="A185" s="0" t="str">
        <f aca="false">IFERROR(SMALL('Master Task List'!$U$2:$U$600,184),"")</f>
        <v/>
      </c>
      <c r="B185" s="0" t="str">
        <f aca="false">IF($A185="","",INDEX('Master Task List'!$D:$D,$A185))</f>
        <v/>
      </c>
      <c r="C185" s="0" t="str">
        <f aca="false">IF($A185="","",INDEX('Master Task List'!$B:$B,$A185))</f>
        <v/>
      </c>
      <c r="D185" s="0" t="str">
        <f aca="false">IF($A185="","",INDEX('Master Task List'!$F:$F,$A185))</f>
        <v/>
      </c>
      <c r="E185" s="39" t="str">
        <f aca="false">IF($A185="","",INDEX('Master Task List'!$G:$G,$A185))</f>
        <v/>
      </c>
      <c r="F185" s="0" t="str">
        <f aca="false">IF($A185="","",INDEX('Master Task List'!$I:$I,$A185))</f>
        <v/>
      </c>
      <c r="G185" s="40" t="str">
        <f aca="false">IF($A185="","",INDEX('Master Task List'!$N:$N,$A185))</f>
        <v/>
      </c>
      <c r="H185" s="38" t="str">
        <f aca="false">IF($A185="","",INDEX('Master Task List'!$L:$L,$A185))</f>
        <v/>
      </c>
      <c r="I185" s="0" t="str">
        <f aca="false">IF($A185="","",INDEX('Master Task List'!$P:$P,$A185))</f>
        <v/>
      </c>
    </row>
    <row r="186" customFormat="false" ht="15" hidden="false" customHeight="false" outlineLevel="0" collapsed="false">
      <c r="A186" s="0" t="str">
        <f aca="false">IFERROR(SMALL('Master Task List'!$U$2:$U$600,185),"")</f>
        <v/>
      </c>
      <c r="B186" s="0" t="str">
        <f aca="false">IF($A186="","",INDEX('Master Task List'!$D:$D,$A186))</f>
        <v/>
      </c>
      <c r="C186" s="0" t="str">
        <f aca="false">IF($A186="","",INDEX('Master Task List'!$B:$B,$A186))</f>
        <v/>
      </c>
      <c r="D186" s="0" t="str">
        <f aca="false">IF($A186="","",INDEX('Master Task List'!$F:$F,$A186))</f>
        <v/>
      </c>
      <c r="E186" s="39" t="str">
        <f aca="false">IF($A186="","",INDEX('Master Task List'!$G:$G,$A186))</f>
        <v/>
      </c>
      <c r="F186" s="0" t="str">
        <f aca="false">IF($A186="","",INDEX('Master Task List'!$I:$I,$A186))</f>
        <v/>
      </c>
      <c r="G186" s="40" t="str">
        <f aca="false">IF($A186="","",INDEX('Master Task List'!$N:$N,$A186))</f>
        <v/>
      </c>
      <c r="H186" s="38" t="str">
        <f aca="false">IF($A186="","",INDEX('Master Task List'!$L:$L,$A186))</f>
        <v/>
      </c>
      <c r="I186" s="0" t="str">
        <f aca="false">IF($A186="","",INDEX('Master Task List'!$P:$P,$A186))</f>
        <v/>
      </c>
    </row>
    <row r="187" customFormat="false" ht="15" hidden="false" customHeight="false" outlineLevel="0" collapsed="false">
      <c r="A187" s="0" t="str">
        <f aca="false">IFERROR(SMALL('Master Task List'!$U$2:$U$600,186),"")</f>
        <v/>
      </c>
      <c r="B187" s="0" t="str">
        <f aca="false">IF($A187="","",INDEX('Master Task List'!$D:$D,$A187))</f>
        <v/>
      </c>
      <c r="C187" s="0" t="str">
        <f aca="false">IF($A187="","",INDEX('Master Task List'!$B:$B,$A187))</f>
        <v/>
      </c>
      <c r="D187" s="0" t="str">
        <f aca="false">IF($A187="","",INDEX('Master Task List'!$F:$F,$A187))</f>
        <v/>
      </c>
      <c r="E187" s="39" t="str">
        <f aca="false">IF($A187="","",INDEX('Master Task List'!$G:$G,$A187))</f>
        <v/>
      </c>
      <c r="F187" s="0" t="str">
        <f aca="false">IF($A187="","",INDEX('Master Task List'!$I:$I,$A187))</f>
        <v/>
      </c>
      <c r="G187" s="40" t="str">
        <f aca="false">IF($A187="","",INDEX('Master Task List'!$N:$N,$A187))</f>
        <v/>
      </c>
      <c r="H187" s="38" t="str">
        <f aca="false">IF($A187="","",INDEX('Master Task List'!$L:$L,$A187))</f>
        <v/>
      </c>
      <c r="I187" s="0" t="str">
        <f aca="false">IF($A187="","",INDEX('Master Task List'!$P:$P,$A187))</f>
        <v/>
      </c>
    </row>
    <row r="188" customFormat="false" ht="15" hidden="false" customHeight="false" outlineLevel="0" collapsed="false">
      <c r="A188" s="0" t="str">
        <f aca="false">IFERROR(SMALL('Master Task List'!$U$2:$U$600,187),"")</f>
        <v/>
      </c>
      <c r="B188" s="0" t="str">
        <f aca="false">IF($A188="","",INDEX('Master Task List'!$D:$D,$A188))</f>
        <v/>
      </c>
      <c r="C188" s="0" t="str">
        <f aca="false">IF($A188="","",INDEX('Master Task List'!$B:$B,$A188))</f>
        <v/>
      </c>
      <c r="D188" s="0" t="str">
        <f aca="false">IF($A188="","",INDEX('Master Task List'!$F:$F,$A188))</f>
        <v/>
      </c>
      <c r="E188" s="39" t="str">
        <f aca="false">IF($A188="","",INDEX('Master Task List'!$G:$G,$A188))</f>
        <v/>
      </c>
      <c r="F188" s="0" t="str">
        <f aca="false">IF($A188="","",INDEX('Master Task List'!$I:$I,$A188))</f>
        <v/>
      </c>
      <c r="G188" s="40" t="str">
        <f aca="false">IF($A188="","",INDEX('Master Task List'!$N:$N,$A188))</f>
        <v/>
      </c>
      <c r="H188" s="38" t="str">
        <f aca="false">IF($A188="","",INDEX('Master Task List'!$L:$L,$A188))</f>
        <v/>
      </c>
      <c r="I188" s="0" t="str">
        <f aca="false">IF($A188="","",INDEX('Master Task List'!$P:$P,$A188))</f>
        <v/>
      </c>
    </row>
    <row r="189" customFormat="false" ht="15" hidden="false" customHeight="false" outlineLevel="0" collapsed="false">
      <c r="A189" s="0" t="str">
        <f aca="false">IFERROR(SMALL('Master Task List'!$U$2:$U$600,188),"")</f>
        <v/>
      </c>
      <c r="B189" s="0" t="str">
        <f aca="false">IF($A189="","",INDEX('Master Task List'!$D:$D,$A189))</f>
        <v/>
      </c>
      <c r="C189" s="0" t="str">
        <f aca="false">IF($A189="","",INDEX('Master Task List'!$B:$B,$A189))</f>
        <v/>
      </c>
      <c r="D189" s="0" t="str">
        <f aca="false">IF($A189="","",INDEX('Master Task List'!$F:$F,$A189))</f>
        <v/>
      </c>
      <c r="E189" s="39" t="str">
        <f aca="false">IF($A189="","",INDEX('Master Task List'!$G:$G,$A189))</f>
        <v/>
      </c>
      <c r="F189" s="0" t="str">
        <f aca="false">IF($A189="","",INDEX('Master Task List'!$I:$I,$A189))</f>
        <v/>
      </c>
      <c r="G189" s="40" t="str">
        <f aca="false">IF($A189="","",INDEX('Master Task List'!$N:$N,$A189))</f>
        <v/>
      </c>
      <c r="H189" s="38" t="str">
        <f aca="false">IF($A189="","",INDEX('Master Task List'!$L:$L,$A189))</f>
        <v/>
      </c>
      <c r="I189" s="0" t="str">
        <f aca="false">IF($A189="","",INDEX('Master Task List'!$P:$P,$A189))</f>
        <v/>
      </c>
    </row>
    <row r="190" customFormat="false" ht="15" hidden="false" customHeight="false" outlineLevel="0" collapsed="false">
      <c r="A190" s="0" t="str">
        <f aca="false">IFERROR(SMALL('Master Task List'!$U$2:$U$600,189),"")</f>
        <v/>
      </c>
      <c r="B190" s="0" t="str">
        <f aca="false">IF($A190="","",INDEX('Master Task List'!$D:$D,$A190))</f>
        <v/>
      </c>
      <c r="C190" s="0" t="str">
        <f aca="false">IF($A190="","",INDEX('Master Task List'!$B:$B,$A190))</f>
        <v/>
      </c>
      <c r="D190" s="0" t="str">
        <f aca="false">IF($A190="","",INDEX('Master Task List'!$F:$F,$A190))</f>
        <v/>
      </c>
      <c r="E190" s="39" t="str">
        <f aca="false">IF($A190="","",INDEX('Master Task List'!$G:$G,$A190))</f>
        <v/>
      </c>
      <c r="F190" s="0" t="str">
        <f aca="false">IF($A190="","",INDEX('Master Task List'!$I:$I,$A190))</f>
        <v/>
      </c>
      <c r="G190" s="40" t="str">
        <f aca="false">IF($A190="","",INDEX('Master Task List'!$N:$N,$A190))</f>
        <v/>
      </c>
      <c r="H190" s="38" t="str">
        <f aca="false">IF($A190="","",INDEX('Master Task List'!$L:$L,$A190))</f>
        <v/>
      </c>
      <c r="I190" s="0" t="str">
        <f aca="false">IF($A190="","",INDEX('Master Task List'!$P:$P,$A190))</f>
        <v/>
      </c>
    </row>
    <row r="191" customFormat="false" ht="15" hidden="false" customHeight="false" outlineLevel="0" collapsed="false">
      <c r="A191" s="0" t="str">
        <f aca="false">IFERROR(SMALL('Master Task List'!$U$2:$U$600,190),"")</f>
        <v/>
      </c>
      <c r="B191" s="0" t="str">
        <f aca="false">IF($A191="","",INDEX('Master Task List'!$D:$D,$A191))</f>
        <v/>
      </c>
      <c r="C191" s="0" t="str">
        <f aca="false">IF($A191="","",INDEX('Master Task List'!$B:$B,$A191))</f>
        <v/>
      </c>
      <c r="D191" s="0" t="str">
        <f aca="false">IF($A191="","",INDEX('Master Task List'!$F:$F,$A191))</f>
        <v/>
      </c>
      <c r="E191" s="39" t="str">
        <f aca="false">IF($A191="","",INDEX('Master Task List'!$G:$G,$A191))</f>
        <v/>
      </c>
      <c r="F191" s="0" t="str">
        <f aca="false">IF($A191="","",INDEX('Master Task List'!$I:$I,$A191))</f>
        <v/>
      </c>
      <c r="G191" s="40" t="str">
        <f aca="false">IF($A191="","",INDEX('Master Task List'!$N:$N,$A191))</f>
        <v/>
      </c>
      <c r="H191" s="38" t="str">
        <f aca="false">IF($A191="","",INDEX('Master Task List'!$L:$L,$A191))</f>
        <v/>
      </c>
      <c r="I191" s="0" t="str">
        <f aca="false">IF($A191="","",INDEX('Master Task List'!$P:$P,$A191))</f>
        <v/>
      </c>
    </row>
    <row r="192" customFormat="false" ht="15" hidden="false" customHeight="false" outlineLevel="0" collapsed="false">
      <c r="A192" s="0" t="str">
        <f aca="false">IFERROR(SMALL('Master Task List'!$U$2:$U$600,191),"")</f>
        <v/>
      </c>
      <c r="B192" s="0" t="str">
        <f aca="false">IF($A192="","",INDEX('Master Task List'!$D:$D,$A192))</f>
        <v/>
      </c>
      <c r="C192" s="0" t="str">
        <f aca="false">IF($A192="","",INDEX('Master Task List'!$B:$B,$A192))</f>
        <v/>
      </c>
      <c r="D192" s="0" t="str">
        <f aca="false">IF($A192="","",INDEX('Master Task List'!$F:$F,$A192))</f>
        <v/>
      </c>
      <c r="E192" s="39" t="str">
        <f aca="false">IF($A192="","",INDEX('Master Task List'!$G:$G,$A192))</f>
        <v/>
      </c>
      <c r="F192" s="0" t="str">
        <f aca="false">IF($A192="","",INDEX('Master Task List'!$I:$I,$A192))</f>
        <v/>
      </c>
      <c r="G192" s="40" t="str">
        <f aca="false">IF($A192="","",INDEX('Master Task List'!$N:$N,$A192))</f>
        <v/>
      </c>
      <c r="H192" s="38" t="str">
        <f aca="false">IF($A192="","",INDEX('Master Task List'!$L:$L,$A192))</f>
        <v/>
      </c>
      <c r="I192" s="0" t="str">
        <f aca="false">IF($A192="","",INDEX('Master Task List'!$P:$P,$A192))</f>
        <v/>
      </c>
    </row>
    <row r="193" customFormat="false" ht="15" hidden="false" customHeight="false" outlineLevel="0" collapsed="false">
      <c r="A193" s="0" t="str">
        <f aca="false">IFERROR(SMALL('Master Task List'!$U$2:$U$600,192),"")</f>
        <v/>
      </c>
      <c r="B193" s="0" t="str">
        <f aca="false">IF($A193="","",INDEX('Master Task List'!$D:$D,$A193))</f>
        <v/>
      </c>
      <c r="C193" s="0" t="str">
        <f aca="false">IF($A193="","",INDEX('Master Task List'!$B:$B,$A193))</f>
        <v/>
      </c>
      <c r="D193" s="0" t="str">
        <f aca="false">IF($A193="","",INDEX('Master Task List'!$F:$F,$A193))</f>
        <v/>
      </c>
      <c r="E193" s="39" t="str">
        <f aca="false">IF($A193="","",INDEX('Master Task List'!$G:$G,$A193))</f>
        <v/>
      </c>
      <c r="F193" s="0" t="str">
        <f aca="false">IF($A193="","",INDEX('Master Task List'!$I:$I,$A193))</f>
        <v/>
      </c>
      <c r="G193" s="40" t="str">
        <f aca="false">IF($A193="","",INDEX('Master Task List'!$N:$N,$A193))</f>
        <v/>
      </c>
      <c r="H193" s="38" t="str">
        <f aca="false">IF($A193="","",INDEX('Master Task List'!$L:$L,$A193))</f>
        <v/>
      </c>
      <c r="I193" s="0" t="str">
        <f aca="false">IF($A193="","",INDEX('Master Task List'!$P:$P,$A193))</f>
        <v/>
      </c>
    </row>
    <row r="194" customFormat="false" ht="15" hidden="false" customHeight="false" outlineLevel="0" collapsed="false">
      <c r="A194" s="0" t="str">
        <f aca="false">IFERROR(SMALL('Master Task List'!$U$2:$U$600,193),"")</f>
        <v/>
      </c>
      <c r="B194" s="0" t="str">
        <f aca="false">IF($A194="","",INDEX('Master Task List'!$D:$D,$A194))</f>
        <v/>
      </c>
      <c r="C194" s="0" t="str">
        <f aca="false">IF($A194="","",INDEX('Master Task List'!$B:$B,$A194))</f>
        <v/>
      </c>
      <c r="D194" s="0" t="str">
        <f aca="false">IF($A194="","",INDEX('Master Task List'!$F:$F,$A194))</f>
        <v/>
      </c>
      <c r="E194" s="39" t="str">
        <f aca="false">IF($A194="","",INDEX('Master Task List'!$G:$G,$A194))</f>
        <v/>
      </c>
      <c r="F194" s="0" t="str">
        <f aca="false">IF($A194="","",INDEX('Master Task List'!$I:$I,$A194))</f>
        <v/>
      </c>
      <c r="G194" s="40" t="str">
        <f aca="false">IF($A194="","",INDEX('Master Task List'!$N:$N,$A194))</f>
        <v/>
      </c>
      <c r="H194" s="38" t="str">
        <f aca="false">IF($A194="","",INDEX('Master Task List'!$L:$L,$A194))</f>
        <v/>
      </c>
      <c r="I194" s="0" t="str">
        <f aca="false">IF($A194="","",INDEX('Master Task List'!$P:$P,$A194))</f>
        <v/>
      </c>
    </row>
    <row r="195" customFormat="false" ht="15" hidden="false" customHeight="false" outlineLevel="0" collapsed="false">
      <c r="A195" s="0" t="str">
        <f aca="false">IFERROR(SMALL('Master Task List'!$U$2:$U$600,194),"")</f>
        <v/>
      </c>
      <c r="B195" s="0" t="str">
        <f aca="false">IF($A195="","",INDEX('Master Task List'!$D:$D,$A195))</f>
        <v/>
      </c>
      <c r="C195" s="0" t="str">
        <f aca="false">IF($A195="","",INDEX('Master Task List'!$B:$B,$A195))</f>
        <v/>
      </c>
      <c r="D195" s="0" t="str">
        <f aca="false">IF($A195="","",INDEX('Master Task List'!$F:$F,$A195))</f>
        <v/>
      </c>
      <c r="E195" s="39" t="str">
        <f aca="false">IF($A195="","",INDEX('Master Task List'!$G:$G,$A195))</f>
        <v/>
      </c>
      <c r="F195" s="0" t="str">
        <f aca="false">IF($A195="","",INDEX('Master Task List'!$I:$I,$A195))</f>
        <v/>
      </c>
      <c r="G195" s="40" t="str">
        <f aca="false">IF($A195="","",INDEX('Master Task List'!$N:$N,$A195))</f>
        <v/>
      </c>
      <c r="H195" s="38" t="str">
        <f aca="false">IF($A195="","",INDEX('Master Task List'!$L:$L,$A195))</f>
        <v/>
      </c>
      <c r="I195" s="0" t="str">
        <f aca="false">IF($A195="","",INDEX('Master Task List'!$P:$P,$A195))</f>
        <v/>
      </c>
    </row>
    <row r="196" customFormat="false" ht="15" hidden="false" customHeight="false" outlineLevel="0" collapsed="false">
      <c r="A196" s="0" t="str">
        <f aca="false">IFERROR(SMALL('Master Task List'!$U$2:$U$600,195),"")</f>
        <v/>
      </c>
      <c r="B196" s="0" t="str">
        <f aca="false">IF($A196="","",INDEX('Master Task List'!$D:$D,$A196))</f>
        <v/>
      </c>
      <c r="C196" s="0" t="str">
        <f aca="false">IF($A196="","",INDEX('Master Task List'!$B:$B,$A196))</f>
        <v/>
      </c>
      <c r="D196" s="0" t="str">
        <f aca="false">IF($A196="","",INDEX('Master Task List'!$F:$F,$A196))</f>
        <v/>
      </c>
      <c r="E196" s="39" t="str">
        <f aca="false">IF($A196="","",INDEX('Master Task List'!$G:$G,$A196))</f>
        <v/>
      </c>
      <c r="F196" s="0" t="str">
        <f aca="false">IF($A196="","",INDEX('Master Task List'!$I:$I,$A196))</f>
        <v/>
      </c>
      <c r="G196" s="40" t="str">
        <f aca="false">IF($A196="","",INDEX('Master Task List'!$N:$N,$A196))</f>
        <v/>
      </c>
      <c r="H196" s="38" t="str">
        <f aca="false">IF($A196="","",INDEX('Master Task List'!$L:$L,$A196))</f>
        <v/>
      </c>
      <c r="I196" s="0" t="str">
        <f aca="false">IF($A196="","",INDEX('Master Task List'!$P:$P,$A196))</f>
        <v/>
      </c>
    </row>
    <row r="197" customFormat="false" ht="15" hidden="false" customHeight="false" outlineLevel="0" collapsed="false">
      <c r="A197" s="0" t="str">
        <f aca="false">IFERROR(SMALL('Master Task List'!$U$2:$U$600,196),"")</f>
        <v/>
      </c>
      <c r="B197" s="0" t="str">
        <f aca="false">IF($A197="","",INDEX('Master Task List'!$D:$D,$A197))</f>
        <v/>
      </c>
      <c r="C197" s="0" t="str">
        <f aca="false">IF($A197="","",INDEX('Master Task List'!$B:$B,$A197))</f>
        <v/>
      </c>
      <c r="D197" s="0" t="str">
        <f aca="false">IF($A197="","",INDEX('Master Task List'!$F:$F,$A197))</f>
        <v/>
      </c>
      <c r="E197" s="39" t="str">
        <f aca="false">IF($A197="","",INDEX('Master Task List'!$G:$G,$A197))</f>
        <v/>
      </c>
      <c r="F197" s="0" t="str">
        <f aca="false">IF($A197="","",INDEX('Master Task List'!$I:$I,$A197))</f>
        <v/>
      </c>
      <c r="G197" s="40" t="str">
        <f aca="false">IF($A197="","",INDEX('Master Task List'!$N:$N,$A197))</f>
        <v/>
      </c>
      <c r="H197" s="38" t="str">
        <f aca="false">IF($A197="","",INDEX('Master Task List'!$L:$L,$A197))</f>
        <v/>
      </c>
      <c r="I197" s="0" t="str">
        <f aca="false">IF($A197="","",INDEX('Master Task List'!$P:$P,$A197))</f>
        <v/>
      </c>
    </row>
    <row r="198" customFormat="false" ht="15" hidden="false" customHeight="false" outlineLevel="0" collapsed="false">
      <c r="A198" s="0" t="str">
        <f aca="false">IFERROR(SMALL('Master Task List'!$U$2:$U$600,197),"")</f>
        <v/>
      </c>
      <c r="B198" s="0" t="str">
        <f aca="false">IF($A198="","",INDEX('Master Task List'!$D:$D,$A198))</f>
        <v/>
      </c>
      <c r="C198" s="0" t="str">
        <f aca="false">IF($A198="","",INDEX('Master Task List'!$B:$B,$A198))</f>
        <v/>
      </c>
      <c r="D198" s="0" t="str">
        <f aca="false">IF($A198="","",INDEX('Master Task List'!$F:$F,$A198))</f>
        <v/>
      </c>
      <c r="E198" s="39" t="str">
        <f aca="false">IF($A198="","",INDEX('Master Task List'!$G:$G,$A198))</f>
        <v/>
      </c>
      <c r="F198" s="0" t="str">
        <f aca="false">IF($A198="","",INDEX('Master Task List'!$I:$I,$A198))</f>
        <v/>
      </c>
      <c r="G198" s="40" t="str">
        <f aca="false">IF($A198="","",INDEX('Master Task List'!$N:$N,$A198))</f>
        <v/>
      </c>
      <c r="H198" s="38" t="str">
        <f aca="false">IF($A198="","",INDEX('Master Task List'!$L:$L,$A198))</f>
        <v/>
      </c>
      <c r="I198" s="0" t="str">
        <f aca="false">IF($A198="","",INDEX('Master Task List'!$P:$P,$A198))</f>
        <v/>
      </c>
    </row>
    <row r="199" customFormat="false" ht="15" hidden="false" customHeight="false" outlineLevel="0" collapsed="false">
      <c r="A199" s="0" t="str">
        <f aca="false">IFERROR(SMALL('Master Task List'!$U$2:$U$600,198),"")</f>
        <v/>
      </c>
      <c r="B199" s="0" t="str">
        <f aca="false">IF($A199="","",INDEX('Master Task List'!$D:$D,$A199))</f>
        <v/>
      </c>
      <c r="C199" s="0" t="str">
        <f aca="false">IF($A199="","",INDEX('Master Task List'!$B:$B,$A199))</f>
        <v/>
      </c>
      <c r="D199" s="0" t="str">
        <f aca="false">IF($A199="","",INDEX('Master Task List'!$F:$F,$A199))</f>
        <v/>
      </c>
      <c r="E199" s="39" t="str">
        <f aca="false">IF($A199="","",INDEX('Master Task List'!$G:$G,$A199))</f>
        <v/>
      </c>
      <c r="F199" s="0" t="str">
        <f aca="false">IF($A199="","",INDEX('Master Task List'!$I:$I,$A199))</f>
        <v/>
      </c>
      <c r="G199" s="40" t="str">
        <f aca="false">IF($A199="","",INDEX('Master Task List'!$N:$N,$A199))</f>
        <v/>
      </c>
      <c r="H199" s="38" t="str">
        <f aca="false">IF($A199="","",INDEX('Master Task List'!$L:$L,$A199))</f>
        <v/>
      </c>
      <c r="I199" s="0" t="str">
        <f aca="false">IF($A199="","",INDEX('Master Task List'!$P:$P,$A199))</f>
        <v/>
      </c>
    </row>
    <row r="200" customFormat="false" ht="15" hidden="false" customHeight="false" outlineLevel="0" collapsed="false">
      <c r="A200" s="0" t="str">
        <f aca="false">IFERROR(SMALL('Master Task List'!$U$2:$U$600,199),"")</f>
        <v/>
      </c>
      <c r="B200" s="0" t="str">
        <f aca="false">IF($A200="","",INDEX('Master Task List'!$D:$D,$A200))</f>
        <v/>
      </c>
      <c r="C200" s="0" t="str">
        <f aca="false">IF($A200="","",INDEX('Master Task List'!$B:$B,$A200))</f>
        <v/>
      </c>
      <c r="D200" s="0" t="str">
        <f aca="false">IF($A200="","",INDEX('Master Task List'!$F:$F,$A200))</f>
        <v/>
      </c>
      <c r="E200" s="39" t="str">
        <f aca="false">IF($A200="","",INDEX('Master Task List'!$G:$G,$A200))</f>
        <v/>
      </c>
      <c r="F200" s="0" t="str">
        <f aca="false">IF($A200="","",INDEX('Master Task List'!$I:$I,$A200))</f>
        <v/>
      </c>
      <c r="G200" s="40" t="str">
        <f aca="false">IF($A200="","",INDEX('Master Task List'!$N:$N,$A200))</f>
        <v/>
      </c>
      <c r="H200" s="38" t="str">
        <f aca="false">IF($A200="","",INDEX('Master Task List'!$L:$L,$A200))</f>
        <v/>
      </c>
      <c r="I200" s="0" t="str">
        <f aca="false">IF($A200="","",INDEX('Master Task List'!$P:$P,$A200))</f>
        <v/>
      </c>
    </row>
    <row r="201" customFormat="false" ht="15" hidden="false" customHeight="false" outlineLevel="0" collapsed="false">
      <c r="A201" s="0" t="str">
        <f aca="false">IFERROR(SMALL('Master Task List'!$U$2:$U$600,200),"")</f>
        <v/>
      </c>
      <c r="B201" s="0" t="str">
        <f aca="false">IF($A201="","",INDEX('Master Task List'!$D:$D,$A201))</f>
        <v/>
      </c>
      <c r="C201" s="0" t="str">
        <f aca="false">IF($A201="","",INDEX('Master Task List'!$B:$B,$A201))</f>
        <v/>
      </c>
      <c r="D201" s="0" t="str">
        <f aca="false">IF($A201="","",INDEX('Master Task List'!$F:$F,$A201))</f>
        <v/>
      </c>
      <c r="E201" s="39" t="str">
        <f aca="false">IF($A201="","",INDEX('Master Task List'!$G:$G,$A201))</f>
        <v/>
      </c>
      <c r="F201" s="0" t="str">
        <f aca="false">IF($A201="","",INDEX('Master Task List'!$I:$I,$A201))</f>
        <v/>
      </c>
      <c r="G201" s="40" t="str">
        <f aca="false">IF($A201="","",INDEX('Master Task List'!$N:$N,$A201))</f>
        <v/>
      </c>
      <c r="H201" s="38" t="str">
        <f aca="false">IF($A201="","",INDEX('Master Task List'!$L:$L,$A201))</f>
        <v/>
      </c>
      <c r="I201" s="0" t="str">
        <f aca="false">IF($A201="","",INDEX('Master Task List'!$P:$P,$A201))</f>
        <v/>
      </c>
    </row>
  </sheetData>
  <conditionalFormatting sqref="B2:B201">
    <cfRule type="expression" priority="2" aboveAverage="0" equalAverage="0" bottom="0" percent="0" rank="0" text="" dxfId="24">
      <formula>$A2=""</formula>
    </cfRule>
  </conditionalFormatting>
  <conditionalFormatting sqref="C2:C201">
    <cfRule type="expression" priority="3" aboveAverage="0" equalAverage="0" bottom="0" percent="0" rank="0" text="" dxfId="24">
      <formula>$A2=""</formula>
    </cfRule>
  </conditionalFormatting>
  <conditionalFormatting sqref="D2:D201">
    <cfRule type="expression" priority="4" aboveAverage="0" equalAverage="0" bottom="0" percent="0" rank="0" text="" dxfId="24">
      <formula>$A2=""</formula>
    </cfRule>
  </conditionalFormatting>
  <conditionalFormatting sqref="E2:E201">
    <cfRule type="expression" priority="5" aboveAverage="0" equalAverage="0" bottom="0" percent="0" rank="0" text="" dxfId="24">
      <formula>$A2=""</formula>
    </cfRule>
  </conditionalFormatting>
  <conditionalFormatting sqref="F2:F201">
    <cfRule type="expression" priority="6" aboveAverage="0" equalAverage="0" bottom="0" percent="0" rank="0" text="" dxfId="24">
      <formula>$A2=""</formula>
    </cfRule>
  </conditionalFormatting>
  <conditionalFormatting sqref="G2:G201">
    <cfRule type="expression" priority="7" aboveAverage="0" equalAverage="0" bottom="0" percent="0" rank="0" text="" dxfId="24">
      <formula>$A2=""</formula>
    </cfRule>
  </conditionalFormatting>
  <conditionalFormatting sqref="H2:H201">
    <cfRule type="expression" priority="8" aboveAverage="0" equalAverage="0" bottom="0" percent="0" rank="0" text="" dxfId="24">
      <formula>$A2=""</formula>
    </cfRule>
  </conditionalFormatting>
  <conditionalFormatting sqref="I2:I201">
    <cfRule type="expression" priority="9" aboveAverage="0" equalAverage="0" bottom="0" percent="0" rank="0" text="" dxfId="24">
      <formula>$A2=""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3" topLeftCell="K4" activePane="bottomRight" state="frozen"/>
      <selection pane="topLeft" activeCell="A1" activeCellId="0" sqref="A1"/>
      <selection pane="topRight" activeCell="K1" activeCellId="0" sqref="K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9" min="8" style="0" width="11"/>
    <col collapsed="false" customWidth="true" hidden="false" outlineLevel="0" max="10" min="10" style="0" width="9"/>
    <col collapsed="false" customWidth="true" hidden="false" outlineLevel="0" max="80" min="11" style="0" width="3.2"/>
  </cols>
  <sheetData>
    <row r="1" customFormat="false" ht="15.75" hidden="false" customHeight="true" outlineLevel="0" collapsed="false">
      <c r="A1" s="42" t="s">
        <v>464</v>
      </c>
      <c r="B1" s="42"/>
      <c r="C1" s="42"/>
      <c r="D1" s="42"/>
      <c r="E1" s="42"/>
      <c r="F1" s="42"/>
      <c r="G1" s="42"/>
      <c r="H1" s="42"/>
      <c r="I1" s="42"/>
      <c r="J1" s="42"/>
      <c r="K1" s="43" t="s">
        <v>465</v>
      </c>
      <c r="L1" s="43"/>
      <c r="M1" s="43"/>
      <c r="N1" s="43"/>
      <c r="O1" s="43" t="s">
        <v>466</v>
      </c>
      <c r="P1" s="43"/>
      <c r="Q1" s="43"/>
      <c r="R1" s="43"/>
      <c r="S1" s="43" t="s">
        <v>467</v>
      </c>
      <c r="T1" s="43"/>
      <c r="U1" s="43"/>
      <c r="V1" s="43"/>
      <c r="W1" s="43"/>
      <c r="X1" s="43" t="s">
        <v>468</v>
      </c>
      <c r="Y1" s="43"/>
      <c r="Z1" s="43"/>
      <c r="AA1" s="43"/>
      <c r="AB1" s="43" t="s">
        <v>469</v>
      </c>
      <c r="AC1" s="43"/>
      <c r="AD1" s="43"/>
      <c r="AE1" s="43"/>
      <c r="AF1" s="43" t="s">
        <v>470</v>
      </c>
      <c r="AG1" s="43"/>
      <c r="AH1" s="43"/>
      <c r="AI1" s="43"/>
      <c r="AJ1" s="43"/>
      <c r="AK1" s="43" t="s">
        <v>471</v>
      </c>
      <c r="AL1" s="43"/>
      <c r="AM1" s="43"/>
      <c r="AN1" s="43"/>
      <c r="AO1" s="43" t="s">
        <v>472</v>
      </c>
      <c r="AP1" s="43"/>
      <c r="AQ1" s="43"/>
      <c r="AR1" s="43"/>
      <c r="AS1" s="43"/>
      <c r="AT1" s="43" t="s">
        <v>473</v>
      </c>
      <c r="AU1" s="43"/>
      <c r="AV1" s="43"/>
      <c r="AW1" s="43"/>
      <c r="AX1" s="43" t="s">
        <v>474</v>
      </c>
      <c r="AY1" s="43"/>
      <c r="AZ1" s="43"/>
      <c r="BA1" s="43"/>
      <c r="BB1" s="43" t="s">
        <v>475</v>
      </c>
      <c r="BC1" s="43"/>
      <c r="BD1" s="43"/>
      <c r="BE1" s="43"/>
      <c r="BF1" s="43"/>
      <c r="BG1" s="43" t="s">
        <v>476</v>
      </c>
      <c r="BH1" s="43"/>
      <c r="BI1" s="43"/>
      <c r="BJ1" s="43"/>
      <c r="BK1" s="43" t="s">
        <v>477</v>
      </c>
      <c r="BL1" s="43"/>
      <c r="BM1" s="43"/>
      <c r="BN1" s="43"/>
      <c r="BO1" s="43" t="s">
        <v>478</v>
      </c>
      <c r="BP1" s="43"/>
      <c r="BQ1" s="43"/>
      <c r="BR1" s="43"/>
      <c r="BS1" s="43" t="s">
        <v>479</v>
      </c>
      <c r="BT1" s="43"/>
      <c r="BU1" s="43"/>
      <c r="BV1" s="43"/>
      <c r="BW1" s="43"/>
      <c r="BX1" s="43" t="s">
        <v>480</v>
      </c>
      <c r="BY1" s="43"/>
      <c r="BZ1" s="43"/>
      <c r="CA1" s="43"/>
      <c r="CB1" s="44" t="s">
        <v>481</v>
      </c>
    </row>
    <row r="2" customFormat="false" ht="25.5" hidden="false" customHeight="true" outlineLevel="0" collapsed="false">
      <c r="A2" s="42"/>
      <c r="B2" s="42"/>
      <c r="C2" s="42"/>
      <c r="D2" s="42"/>
      <c r="E2" s="42"/>
      <c r="F2" s="42"/>
      <c r="G2" s="42"/>
      <c r="H2" s="42"/>
      <c r="I2" s="42"/>
      <c r="J2" s="42"/>
      <c r="K2" s="45" t="n">
        <v>46027</v>
      </c>
      <c r="L2" s="45" t="n">
        <v>46034</v>
      </c>
      <c r="M2" s="45" t="n">
        <v>46041</v>
      </c>
      <c r="N2" s="45" t="n">
        <v>46048</v>
      </c>
      <c r="O2" s="45" t="n">
        <v>46055</v>
      </c>
      <c r="P2" s="45" t="n">
        <v>46062</v>
      </c>
      <c r="Q2" s="45" t="n">
        <v>46069</v>
      </c>
      <c r="R2" s="45" t="n">
        <v>46076</v>
      </c>
      <c r="S2" s="45" t="n">
        <v>46083</v>
      </c>
      <c r="T2" s="45" t="n">
        <v>46090</v>
      </c>
      <c r="U2" s="45" t="n">
        <v>46097</v>
      </c>
      <c r="V2" s="45" t="n">
        <v>46104</v>
      </c>
      <c r="W2" s="45" t="n">
        <v>46111</v>
      </c>
      <c r="X2" s="45" t="n">
        <v>46118</v>
      </c>
      <c r="Y2" s="45" t="n">
        <v>46125</v>
      </c>
      <c r="Z2" s="45" t="n">
        <v>46132</v>
      </c>
      <c r="AA2" s="45" t="n">
        <v>46139</v>
      </c>
      <c r="AB2" s="45" t="n">
        <v>46146</v>
      </c>
      <c r="AC2" s="45" t="n">
        <v>46153</v>
      </c>
      <c r="AD2" s="45" t="n">
        <v>46160</v>
      </c>
      <c r="AE2" s="45" t="n">
        <v>46167</v>
      </c>
      <c r="AF2" s="45" t="n">
        <v>46174</v>
      </c>
      <c r="AG2" s="45" t="n">
        <v>46181</v>
      </c>
      <c r="AH2" s="45" t="n">
        <v>46188</v>
      </c>
      <c r="AI2" s="45" t="n">
        <v>46195</v>
      </c>
      <c r="AJ2" s="45" t="n">
        <v>46202</v>
      </c>
      <c r="AK2" s="45" t="n">
        <v>46209</v>
      </c>
      <c r="AL2" s="45" t="n">
        <v>46216</v>
      </c>
      <c r="AM2" s="45" t="n">
        <v>46223</v>
      </c>
      <c r="AN2" s="45" t="n">
        <v>46230</v>
      </c>
      <c r="AO2" s="45" t="n">
        <v>46237</v>
      </c>
      <c r="AP2" s="45" t="n">
        <v>46244</v>
      </c>
      <c r="AQ2" s="45" t="n">
        <v>46251</v>
      </c>
      <c r="AR2" s="45" t="n">
        <v>46258</v>
      </c>
      <c r="AS2" s="45" t="n">
        <v>46265</v>
      </c>
      <c r="AT2" s="45" t="n">
        <v>46272</v>
      </c>
      <c r="AU2" s="45" t="n">
        <v>46279</v>
      </c>
      <c r="AV2" s="45" t="n">
        <v>46286</v>
      </c>
      <c r="AW2" s="45" t="n">
        <v>46293</v>
      </c>
      <c r="AX2" s="45" t="n">
        <v>46300</v>
      </c>
      <c r="AY2" s="45" t="n">
        <v>46307</v>
      </c>
      <c r="AZ2" s="45" t="n">
        <v>46314</v>
      </c>
      <c r="BA2" s="45" t="n">
        <v>46321</v>
      </c>
      <c r="BB2" s="45" t="n">
        <v>46328</v>
      </c>
      <c r="BC2" s="45" t="n">
        <v>46335</v>
      </c>
      <c r="BD2" s="45" t="n">
        <v>46342</v>
      </c>
      <c r="BE2" s="45" t="n">
        <v>46349</v>
      </c>
      <c r="BF2" s="45" t="n">
        <v>46356</v>
      </c>
      <c r="BG2" s="45" t="n">
        <v>46363</v>
      </c>
      <c r="BH2" s="45" t="n">
        <v>46370</v>
      </c>
      <c r="BI2" s="45" t="n">
        <v>46377</v>
      </c>
      <c r="BJ2" s="45" t="n">
        <v>46384</v>
      </c>
      <c r="BK2" s="45" t="n">
        <v>46391</v>
      </c>
      <c r="BL2" s="45" t="n">
        <v>46398</v>
      </c>
      <c r="BM2" s="45" t="n">
        <v>46405</v>
      </c>
      <c r="BN2" s="45" t="n">
        <v>46412</v>
      </c>
      <c r="BO2" s="45" t="n">
        <v>46419</v>
      </c>
      <c r="BP2" s="45" t="n">
        <v>46426</v>
      </c>
      <c r="BQ2" s="45" t="n">
        <v>46433</v>
      </c>
      <c r="BR2" s="45" t="n">
        <v>46440</v>
      </c>
      <c r="BS2" s="45" t="n">
        <v>46447</v>
      </c>
      <c r="BT2" s="45" t="n">
        <v>46454</v>
      </c>
      <c r="BU2" s="45" t="n">
        <v>46461</v>
      </c>
      <c r="BV2" s="45" t="n">
        <v>46468</v>
      </c>
      <c r="BW2" s="45" t="n">
        <v>46475</v>
      </c>
      <c r="BX2" s="45" t="n">
        <v>46482</v>
      </c>
      <c r="BY2" s="45" t="n">
        <v>46489</v>
      </c>
      <c r="BZ2" s="45" t="n">
        <v>46496</v>
      </c>
      <c r="CA2" s="45" t="n">
        <v>46503</v>
      </c>
      <c r="CB2" s="45" t="n">
        <v>46510</v>
      </c>
    </row>
    <row r="3" customFormat="false" ht="30" hidden="false" customHeight="true" outlineLevel="0" collapsed="false">
      <c r="A3" s="36" t="s">
        <v>60</v>
      </c>
      <c r="B3" s="36" t="s">
        <v>63</v>
      </c>
      <c r="C3" s="36" t="s">
        <v>61</v>
      </c>
      <c r="D3" s="36" t="s">
        <v>66</v>
      </c>
      <c r="E3" s="36" t="s">
        <v>68</v>
      </c>
      <c r="F3" s="36" t="s">
        <v>65</v>
      </c>
      <c r="G3" s="36" t="s">
        <v>76</v>
      </c>
      <c r="H3" s="36" t="s">
        <v>70</v>
      </c>
      <c r="I3" s="36" t="s">
        <v>71</v>
      </c>
      <c r="J3" s="36" t="s">
        <v>460</v>
      </c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46"/>
      <c r="CA3" s="46"/>
      <c r="CB3" s="46"/>
    </row>
    <row r="4" customFormat="false" ht="13.5" hidden="false" customHeight="true" outlineLevel="0" collapsed="false">
      <c r="A4" s="47" t="str">
        <f aca="false">'Master Task List'!A2</f>
        <v>DMT-001</v>
      </c>
      <c r="B4" s="47" t="str">
        <f aca="false">'Master Task List'!D2</f>
        <v>إعداد ميثاق المشروع</v>
      </c>
      <c r="C4" s="47" t="str">
        <f aca="false">'Master Task List'!B2</f>
        <v>Project Planning</v>
      </c>
      <c r="D4" s="47" t="str">
        <f aca="false">'Master Task List'!G2</f>
        <v>سارة العتيبي</v>
      </c>
      <c r="E4" s="47" t="str">
        <f aca="false">'Master Task List'!I2</f>
        <v>Completed</v>
      </c>
      <c r="F4" s="47" t="str">
        <f aca="false">'Master Task List'!F2</f>
        <v>Low</v>
      </c>
      <c r="G4" s="47" t="str">
        <f aca="false">'Master Task List'!Q2</f>
        <v>Low</v>
      </c>
      <c r="H4" s="48" t="n">
        <f aca="false">'Master Task List'!K2</f>
        <v>46027</v>
      </c>
      <c r="I4" s="48" t="n">
        <f aca="false">'Master Task List'!L2</f>
        <v>46036</v>
      </c>
      <c r="J4" s="47" t="n">
        <f aca="false">'Master Task List'!N2</f>
        <v>10</v>
      </c>
    </row>
    <row r="5" customFormat="false" ht="13.5" hidden="false" customHeight="true" outlineLevel="0" collapsed="false">
      <c r="A5" s="47" t="str">
        <f aca="false">'Master Task List'!A3</f>
        <v>DMT-002</v>
      </c>
      <c r="B5" s="47" t="str">
        <f aca="false">'Master Task List'!D3</f>
        <v>بناء خطة العمل الزمنية</v>
      </c>
      <c r="C5" s="47" t="str">
        <f aca="false">'Master Task List'!B3</f>
        <v>Project Planning</v>
      </c>
      <c r="D5" s="47" t="str">
        <f aca="false">'Master Task List'!G3</f>
        <v>سارة العتيبي</v>
      </c>
      <c r="E5" s="47" t="str">
        <f aca="false">'Master Task List'!I3</f>
        <v>Completed</v>
      </c>
      <c r="F5" s="47" t="str">
        <f aca="false">'Master Task List'!F3</f>
        <v>Medium</v>
      </c>
      <c r="G5" s="47" t="str">
        <f aca="false">'Master Task List'!Q3</f>
        <v>Low</v>
      </c>
      <c r="H5" s="48" t="n">
        <f aca="false">'Master Task List'!K3</f>
        <v>46037</v>
      </c>
      <c r="I5" s="48" t="n">
        <f aca="false">'Master Task List'!L3</f>
        <v>46046</v>
      </c>
      <c r="J5" s="47" t="n">
        <f aca="false">'Master Task List'!N3</f>
        <v>10</v>
      </c>
    </row>
    <row r="6" customFormat="false" ht="13.5" hidden="false" customHeight="true" outlineLevel="0" collapsed="false">
      <c r="A6" s="47" t="str">
        <f aca="false">'Master Task List'!A4</f>
        <v>DMT-003</v>
      </c>
      <c r="B6" s="47" t="str">
        <f aca="false">'Master Task List'!D4</f>
        <v>تخصيص فريق العمل</v>
      </c>
      <c r="C6" s="47" t="str">
        <f aca="false">'Master Task List'!B4</f>
        <v>Project Planning</v>
      </c>
      <c r="D6" s="47" t="str">
        <f aca="false">'Master Task List'!G4</f>
        <v>سارة العتيبي</v>
      </c>
      <c r="E6" s="47" t="str">
        <f aca="false">'Master Task List'!I4</f>
        <v>Completed</v>
      </c>
      <c r="F6" s="47" t="str">
        <f aca="false">'Master Task List'!F4</f>
        <v>Medium</v>
      </c>
      <c r="G6" s="47" t="str">
        <f aca="false">'Master Task List'!Q4</f>
        <v>Low</v>
      </c>
      <c r="H6" s="48" t="n">
        <f aca="false">'Master Task List'!K4</f>
        <v>46047</v>
      </c>
      <c r="I6" s="48" t="n">
        <f aca="false">'Master Task List'!L4</f>
        <v>46056</v>
      </c>
      <c r="J6" s="47" t="n">
        <f aca="false">'Master Task List'!N4</f>
        <v>10</v>
      </c>
    </row>
    <row r="7" customFormat="false" ht="13.5" hidden="false" customHeight="true" outlineLevel="0" collapsed="false">
      <c r="A7" s="47" t="str">
        <f aca="false">'Master Task List'!A5</f>
        <v>DMT-004</v>
      </c>
      <c r="B7" s="47" t="str">
        <f aca="false">'Master Task List'!D5</f>
        <v>جمع متطلبات الضمانات</v>
      </c>
      <c r="C7" s="47" t="str">
        <f aca="false">'Master Task List'!B5</f>
        <v>Business Analysis</v>
      </c>
      <c r="D7" s="47" t="str">
        <f aca="false">'Master Task List'!G5</f>
        <v>محمد القحطاني</v>
      </c>
      <c r="E7" s="47" t="str">
        <f aca="false">'Master Task List'!I5</f>
        <v>Completed</v>
      </c>
      <c r="F7" s="47" t="str">
        <f aca="false">'Master Task List'!F5</f>
        <v>Low</v>
      </c>
      <c r="G7" s="47" t="str">
        <f aca="false">'Master Task List'!Q5</f>
        <v>Low</v>
      </c>
      <c r="H7" s="48" t="n">
        <f aca="false">'Master Task List'!K5</f>
        <v>46042</v>
      </c>
      <c r="I7" s="48" t="n">
        <f aca="false">'Master Task List'!L5</f>
        <v>46056</v>
      </c>
      <c r="J7" s="47" t="n">
        <f aca="false">'Master Task List'!N5</f>
        <v>15</v>
      </c>
    </row>
    <row r="8" customFormat="false" ht="13.5" hidden="false" customHeight="true" outlineLevel="0" collapsed="false">
      <c r="A8" s="47" t="str">
        <f aca="false">'Master Task List'!A6</f>
        <v>DMT-005</v>
      </c>
      <c r="B8" s="47" t="str">
        <f aca="false">'Master Task List'!D6</f>
        <v>تحليل نموذج العمل</v>
      </c>
      <c r="C8" s="47" t="str">
        <f aca="false">'Master Task List'!B6</f>
        <v>Business Analysis</v>
      </c>
      <c r="D8" s="47" t="str">
        <f aca="false">'Master Task List'!G6</f>
        <v>محمد القحطاني</v>
      </c>
      <c r="E8" s="47" t="str">
        <f aca="false">'Master Task List'!I6</f>
        <v>Completed</v>
      </c>
      <c r="F8" s="47" t="str">
        <f aca="false">'Master Task List'!F6</f>
        <v>Medium</v>
      </c>
      <c r="G8" s="47" t="str">
        <f aca="false">'Master Task List'!Q6</f>
        <v>Low</v>
      </c>
      <c r="H8" s="48" t="n">
        <f aca="false">'Master Task List'!K6</f>
        <v>46057</v>
      </c>
      <c r="I8" s="48" t="n">
        <f aca="false">'Master Task List'!L6</f>
        <v>46072</v>
      </c>
      <c r="J8" s="47" t="n">
        <f aca="false">'Master Task List'!N6</f>
        <v>16</v>
      </c>
    </row>
    <row r="9" customFormat="false" ht="13.5" hidden="false" customHeight="true" outlineLevel="0" collapsed="false">
      <c r="A9" s="47" t="str">
        <f aca="false">'Master Task List'!A7</f>
        <v>DMT-006</v>
      </c>
      <c r="B9" s="47" t="str">
        <f aca="false">'Master Task List'!D7</f>
        <v>إعداد وثيقة المتطلبات (BRD)</v>
      </c>
      <c r="C9" s="47" t="str">
        <f aca="false">'Master Task List'!B7</f>
        <v>Business Analysis</v>
      </c>
      <c r="D9" s="47" t="str">
        <f aca="false">'Master Task List'!G7</f>
        <v>محمد القحطاني</v>
      </c>
      <c r="E9" s="47" t="str">
        <f aca="false">'Master Task List'!I7</f>
        <v>Completed</v>
      </c>
      <c r="F9" s="47" t="str">
        <f aca="false">'Master Task List'!F7</f>
        <v>Medium</v>
      </c>
      <c r="G9" s="47" t="str">
        <f aca="false">'Master Task List'!Q7</f>
        <v>Low</v>
      </c>
      <c r="H9" s="48" t="n">
        <f aca="false">'Master Task List'!K7</f>
        <v>46073</v>
      </c>
      <c r="I9" s="48" t="n">
        <f aca="false">'Master Task List'!L7</f>
        <v>46087</v>
      </c>
      <c r="J9" s="47" t="n">
        <f aca="false">'Master Task List'!N7</f>
        <v>15</v>
      </c>
    </row>
    <row r="10" customFormat="false" ht="13.5" hidden="false" customHeight="true" outlineLevel="0" collapsed="false">
      <c r="A10" s="47" t="str">
        <f aca="false">'Master Task List'!A8</f>
        <v>DMT-007</v>
      </c>
      <c r="B10" s="47" t="str">
        <f aca="false">'Master Task List'!D8</f>
        <v>بناء خرائط تدفق المستخدم</v>
      </c>
      <c r="C10" s="47" t="str">
        <f aca="false">'Master Task List'!B8</f>
        <v>UI/UX Design</v>
      </c>
      <c r="D10" s="47" t="str">
        <f aca="false">'Master Task List'!G8</f>
        <v>نورة الدوسري</v>
      </c>
      <c r="E10" s="47" t="str">
        <f aca="false">'Master Task List'!I8</f>
        <v>Completed</v>
      </c>
      <c r="F10" s="47" t="str">
        <f aca="false">'Master Task List'!F8</f>
        <v>Medium</v>
      </c>
      <c r="G10" s="47" t="str">
        <f aca="false">'Master Task List'!Q8</f>
        <v>Low</v>
      </c>
      <c r="H10" s="48" t="n">
        <f aca="false">'Master Task List'!K8</f>
        <v>46073</v>
      </c>
      <c r="I10" s="48" t="n">
        <f aca="false">'Master Task List'!L8</f>
        <v>46092</v>
      </c>
      <c r="J10" s="47" t="n">
        <f aca="false">'Master Task List'!N8</f>
        <v>20</v>
      </c>
    </row>
    <row r="11" customFormat="false" ht="13.5" hidden="false" customHeight="true" outlineLevel="0" collapsed="false">
      <c r="A11" s="47" t="str">
        <f aca="false">'Master Task List'!A9</f>
        <v>DMT-008</v>
      </c>
      <c r="B11" s="47" t="str">
        <f aca="false">'Master Task List'!D9</f>
        <v>تصميم نظام التصميم (Design System)</v>
      </c>
      <c r="C11" s="47" t="str">
        <f aca="false">'Master Task List'!B9</f>
        <v>UI/UX Design</v>
      </c>
      <c r="D11" s="47" t="str">
        <f aca="false">'Master Task List'!G9</f>
        <v>نورة الدوسري</v>
      </c>
      <c r="E11" s="47" t="str">
        <f aca="false">'Master Task List'!I9</f>
        <v>Completed</v>
      </c>
      <c r="F11" s="47" t="str">
        <f aca="false">'Master Task List'!F9</f>
        <v>Medium</v>
      </c>
      <c r="G11" s="47" t="str">
        <f aca="false">'Master Task List'!Q9</f>
        <v>Low</v>
      </c>
      <c r="H11" s="48" t="n">
        <f aca="false">'Master Task List'!K9</f>
        <v>46093</v>
      </c>
      <c r="I11" s="48" t="n">
        <f aca="false">'Master Task List'!L9</f>
        <v>46112</v>
      </c>
      <c r="J11" s="47" t="n">
        <f aca="false">'Master Task List'!N9</f>
        <v>20</v>
      </c>
    </row>
    <row r="12" customFormat="false" ht="13.5" hidden="false" customHeight="true" outlineLevel="0" collapsed="false">
      <c r="A12" s="47" t="str">
        <f aca="false">'Master Task List'!A10</f>
        <v>DMT-009</v>
      </c>
      <c r="B12" s="47" t="str">
        <f aca="false">'Master Task List'!D10</f>
        <v>تصميم النماذج التفاعلية (Prototype)</v>
      </c>
      <c r="C12" s="47" t="str">
        <f aca="false">'Master Task List'!B10</f>
        <v>UI/UX Design</v>
      </c>
      <c r="D12" s="47" t="str">
        <f aca="false">'Master Task List'!G10</f>
        <v>نورة الدوسري</v>
      </c>
      <c r="E12" s="47" t="str">
        <f aca="false">'Master Task List'!I10</f>
        <v>Completed</v>
      </c>
      <c r="F12" s="47" t="str">
        <f aca="false">'Master Task List'!F10</f>
        <v>Medium</v>
      </c>
      <c r="G12" s="47" t="str">
        <f aca="false">'Master Task List'!Q10</f>
        <v>Low</v>
      </c>
      <c r="H12" s="48" t="n">
        <f aca="false">'Master Task List'!K10</f>
        <v>46113</v>
      </c>
      <c r="I12" s="48" t="n">
        <f aca="false">'Master Task List'!L10</f>
        <v>46132</v>
      </c>
      <c r="J12" s="47" t="n">
        <f aca="false">'Master Task List'!N10</f>
        <v>20</v>
      </c>
    </row>
    <row r="13" customFormat="false" ht="13.5" hidden="false" customHeight="true" outlineLevel="0" collapsed="false">
      <c r="A13" s="47" t="str">
        <f aca="false">'Master Task List'!A11</f>
        <v>DMT-010</v>
      </c>
      <c r="B13" s="47" t="str">
        <f aca="false">'Master Task List'!D11</f>
        <v>تصميم الشعار وتصميم الهوية</v>
      </c>
      <c r="C13" s="47" t="str">
        <f aca="false">'Master Task List'!B11</f>
        <v>Branding</v>
      </c>
      <c r="D13" s="47" t="str">
        <f aca="false">'Master Task List'!G11</f>
        <v>عبدالله الشمري</v>
      </c>
      <c r="E13" s="47" t="str">
        <f aca="false">'Master Task List'!I11</f>
        <v>Completed</v>
      </c>
      <c r="F13" s="47" t="str">
        <f aca="false">'Master Task List'!F11</f>
        <v>Low</v>
      </c>
      <c r="G13" s="47" t="str">
        <f aca="false">'Master Task List'!Q11</f>
        <v>Low</v>
      </c>
      <c r="H13" s="48" t="n">
        <f aca="false">'Master Task List'!K11</f>
        <v>46073</v>
      </c>
      <c r="I13" s="48" t="n">
        <f aca="false">'Master Task List'!L11</f>
        <v>46087</v>
      </c>
      <c r="J13" s="47" t="n">
        <f aca="false">'Master Task List'!N11</f>
        <v>15</v>
      </c>
    </row>
    <row r="14" customFormat="false" ht="13.5" hidden="false" customHeight="true" outlineLevel="0" collapsed="false">
      <c r="A14" s="47" t="str">
        <f aca="false">'Master Task List'!A12</f>
        <v>DMT-011</v>
      </c>
      <c r="B14" s="47" t="str">
        <f aca="false">'Master Task List'!D12</f>
        <v>تطوير دليل العلامة التجارية</v>
      </c>
      <c r="C14" s="47" t="str">
        <f aca="false">'Master Task List'!B12</f>
        <v>Branding</v>
      </c>
      <c r="D14" s="47" t="str">
        <f aca="false">'Master Task List'!G12</f>
        <v>عبدالله الشمري</v>
      </c>
      <c r="E14" s="47" t="str">
        <f aca="false">'Master Task List'!I12</f>
        <v>Completed</v>
      </c>
      <c r="F14" s="47" t="str">
        <f aca="false">'Master Task List'!F12</f>
        <v>Medium</v>
      </c>
      <c r="G14" s="47" t="str">
        <f aca="false">'Master Task List'!Q12</f>
        <v>Low</v>
      </c>
      <c r="H14" s="48" t="n">
        <f aca="false">'Master Task List'!K12</f>
        <v>46088</v>
      </c>
      <c r="I14" s="48" t="n">
        <f aca="false">'Master Task List'!L12</f>
        <v>46102</v>
      </c>
      <c r="J14" s="47" t="n">
        <f aca="false">'Master Task List'!N12</f>
        <v>15</v>
      </c>
    </row>
    <row r="15" customFormat="false" ht="13.5" hidden="false" customHeight="true" outlineLevel="0" collapsed="false">
      <c r="A15" s="47" t="str">
        <f aca="false">'Master Task List'!A13</f>
        <v>DMT-012</v>
      </c>
      <c r="B15" s="47" t="str">
        <f aca="false">'Master Task List'!D13</f>
        <v>تصميم مواد تسويقية أولية</v>
      </c>
      <c r="C15" s="47" t="str">
        <f aca="false">'Master Task List'!B13</f>
        <v>Branding</v>
      </c>
      <c r="D15" s="47" t="str">
        <f aca="false">'Master Task List'!G13</f>
        <v>عبدالله الشمري</v>
      </c>
      <c r="E15" s="47" t="str">
        <f aca="false">'Master Task List'!I13</f>
        <v>Completed</v>
      </c>
      <c r="F15" s="47" t="str">
        <f aca="false">'Master Task List'!F13</f>
        <v>Medium</v>
      </c>
      <c r="G15" s="47" t="str">
        <f aca="false">'Master Task List'!Q13</f>
        <v>Low</v>
      </c>
      <c r="H15" s="48" t="n">
        <f aca="false">'Master Task List'!K13</f>
        <v>46103</v>
      </c>
      <c r="I15" s="48" t="n">
        <f aca="false">'Master Task List'!L13</f>
        <v>46117</v>
      </c>
      <c r="J15" s="47" t="n">
        <f aca="false">'Master Task List'!N13</f>
        <v>15</v>
      </c>
    </row>
    <row r="16" customFormat="false" ht="13.5" hidden="false" customHeight="true" outlineLevel="0" collapsed="false">
      <c r="A16" s="47" t="str">
        <f aca="false">'Master Task List'!A14</f>
        <v>DMT-013</v>
      </c>
      <c r="B16" s="47" t="str">
        <f aca="false">'Master Task List'!D14</f>
        <v>إعداد بنية تطبيق iOS/Android</v>
      </c>
      <c r="C16" s="47" t="str">
        <f aca="false">'Master Task List'!B14</f>
        <v>Mobile App</v>
      </c>
      <c r="D16" s="47" t="str">
        <f aca="false">'Master Task List'!G14</f>
        <v>فيصل المطيري</v>
      </c>
      <c r="E16" s="47" t="str">
        <f aca="false">'Master Task List'!I14</f>
        <v>Testing</v>
      </c>
      <c r="F16" s="47" t="str">
        <f aca="false">'Master Task List'!F14</f>
        <v>Medium</v>
      </c>
      <c r="G16" s="47" t="str">
        <f aca="false">'Master Task List'!Q14</f>
        <v>Medium</v>
      </c>
      <c r="H16" s="48" t="n">
        <f aca="false">'Master Task List'!K14</f>
        <v>46118</v>
      </c>
      <c r="I16" s="48" t="n">
        <f aca="false">'Master Task List'!L14</f>
        <v>46168</v>
      </c>
      <c r="J16" s="47" t="n">
        <f aca="false">'Master Task List'!N14</f>
        <v>51</v>
      </c>
    </row>
    <row r="17" customFormat="false" ht="13.5" hidden="false" customHeight="true" outlineLevel="0" collapsed="false">
      <c r="A17" s="47" t="str">
        <f aca="false">'Master Task List'!A15</f>
        <v>DMT-014</v>
      </c>
      <c r="B17" s="47" t="str">
        <f aca="false">'Master Task List'!D15</f>
        <v>تطوير الشاشات الرئيسية</v>
      </c>
      <c r="C17" s="47" t="str">
        <f aca="false">'Master Task List'!B15</f>
        <v>Mobile App</v>
      </c>
      <c r="D17" s="47" t="str">
        <f aca="false">'Master Task List'!G15</f>
        <v>فيصل المطيري</v>
      </c>
      <c r="E17" s="47" t="str">
        <f aca="false">'Master Task List'!I15</f>
        <v>Testing</v>
      </c>
      <c r="F17" s="47" t="str">
        <f aca="false">'Master Task List'!F15</f>
        <v>Medium</v>
      </c>
      <c r="G17" s="47" t="str">
        <f aca="false">'Master Task List'!Q15</f>
        <v>Medium</v>
      </c>
      <c r="H17" s="48" t="n">
        <f aca="false">'Master Task List'!K15</f>
        <v>46169</v>
      </c>
      <c r="I17" s="48" t="n">
        <f aca="false">'Master Task List'!L15</f>
        <v>46218</v>
      </c>
      <c r="J17" s="47" t="n">
        <f aca="false">'Master Task List'!N15</f>
        <v>50</v>
      </c>
    </row>
    <row r="18" customFormat="false" ht="13.5" hidden="false" customHeight="true" outlineLevel="0" collapsed="false">
      <c r="A18" s="47" t="str">
        <f aca="false">'Master Task List'!A16</f>
        <v>DMT-015</v>
      </c>
      <c r="B18" s="47" t="str">
        <f aca="false">'Master Task List'!D16</f>
        <v>دمج بوابات الدفع</v>
      </c>
      <c r="C18" s="47" t="str">
        <f aca="false">'Master Task List'!B16</f>
        <v>Mobile App</v>
      </c>
      <c r="D18" s="47" t="str">
        <f aca="false">'Master Task List'!G16</f>
        <v>فيصل المطيري</v>
      </c>
      <c r="E18" s="47" t="str">
        <f aca="false">'Master Task List'!I16</f>
        <v>Development</v>
      </c>
      <c r="F18" s="47" t="str">
        <f aca="false">'Master Task List'!F16</f>
        <v>Medium</v>
      </c>
      <c r="G18" s="47" t="str">
        <f aca="false">'Master Task List'!Q16</f>
        <v>Medium</v>
      </c>
      <c r="H18" s="48" t="n">
        <f aca="false">'Master Task List'!K16</f>
        <v>46219</v>
      </c>
      <c r="I18" s="48" t="n">
        <f aca="false">'Master Task List'!L16</f>
        <v>46269</v>
      </c>
      <c r="J18" s="47" t="n">
        <f aca="false">'Master Task List'!N16</f>
        <v>51</v>
      </c>
    </row>
    <row r="19" customFormat="false" ht="13.5" hidden="false" customHeight="true" outlineLevel="0" collapsed="false">
      <c r="A19" s="47" t="str">
        <f aca="false">'Master Task List'!A17</f>
        <v>DMT-016</v>
      </c>
      <c r="B19" s="47" t="str">
        <f aca="false">'Master Task List'!D17</f>
        <v>إعداد بنية الواجهة الأمامية</v>
      </c>
      <c r="C19" s="47" t="str">
        <f aca="false">'Master Task List'!B17</f>
        <v>Web Dashboard</v>
      </c>
      <c r="D19" s="47" t="str">
        <f aca="false">'Master Task List'!G17</f>
        <v>ريم الحربي</v>
      </c>
      <c r="E19" s="47" t="str">
        <f aca="false">'Master Task List'!I17</f>
        <v>Testing</v>
      </c>
      <c r="F19" s="47" t="str">
        <f aca="false">'Master Task List'!F17</f>
        <v>Medium</v>
      </c>
      <c r="G19" s="47" t="str">
        <f aca="false">'Master Task List'!Q17</f>
        <v>Medium</v>
      </c>
      <c r="H19" s="48" t="n">
        <f aca="false">'Master Task List'!K17</f>
        <v>46133</v>
      </c>
      <c r="I19" s="48" t="n">
        <f aca="false">'Master Task List'!L17</f>
        <v>46178</v>
      </c>
      <c r="J19" s="47" t="n">
        <f aca="false">'Master Task List'!N17</f>
        <v>46</v>
      </c>
    </row>
    <row r="20" customFormat="false" ht="13.5" hidden="false" customHeight="true" outlineLevel="0" collapsed="false">
      <c r="A20" s="47" t="str">
        <f aca="false">'Master Task List'!A18</f>
        <v>DMT-017</v>
      </c>
      <c r="B20" s="47" t="str">
        <f aca="false">'Master Task List'!D18</f>
        <v>تطوير لوحة التحكم الرئيسية</v>
      </c>
      <c r="C20" s="47" t="str">
        <f aca="false">'Master Task List'!B18</f>
        <v>Web Dashboard</v>
      </c>
      <c r="D20" s="47" t="str">
        <f aca="false">'Master Task List'!G18</f>
        <v>ريم الحربي</v>
      </c>
      <c r="E20" s="47" t="str">
        <f aca="false">'Master Task List'!I18</f>
        <v>Testing</v>
      </c>
      <c r="F20" s="47" t="str">
        <f aca="false">'Master Task List'!F18</f>
        <v>Medium</v>
      </c>
      <c r="G20" s="47" t="str">
        <f aca="false">'Master Task List'!Q18</f>
        <v>Medium</v>
      </c>
      <c r="H20" s="48" t="n">
        <f aca="false">'Master Task List'!K18</f>
        <v>46179</v>
      </c>
      <c r="I20" s="48" t="n">
        <f aca="false">'Master Task List'!L18</f>
        <v>46223</v>
      </c>
      <c r="J20" s="47" t="n">
        <f aca="false">'Master Task List'!N18</f>
        <v>45</v>
      </c>
    </row>
    <row r="21" customFormat="false" ht="13.5" hidden="false" customHeight="true" outlineLevel="0" collapsed="false">
      <c r="A21" s="47" t="str">
        <f aca="false">'Master Task List'!A19</f>
        <v>DMT-018</v>
      </c>
      <c r="B21" s="47" t="str">
        <f aca="false">'Master Task List'!D19</f>
        <v>تطوير صفحات إدارة الضمانات</v>
      </c>
      <c r="C21" s="47" t="str">
        <f aca="false">'Master Task List'!B19</f>
        <v>Web Dashboard</v>
      </c>
      <c r="D21" s="47" t="str">
        <f aca="false">'Master Task List'!G19</f>
        <v>ريم الحربي</v>
      </c>
      <c r="E21" s="47" t="str">
        <f aca="false">'Master Task List'!I19</f>
        <v>Development</v>
      </c>
      <c r="F21" s="47" t="str">
        <f aca="false">'Master Task List'!F19</f>
        <v>Medium</v>
      </c>
      <c r="G21" s="47" t="str">
        <f aca="false">'Master Task List'!Q19</f>
        <v>Medium</v>
      </c>
      <c r="H21" s="48" t="n">
        <f aca="false">'Master Task List'!K19</f>
        <v>46224</v>
      </c>
      <c r="I21" s="48" t="n">
        <f aca="false">'Master Task List'!L19</f>
        <v>46269</v>
      </c>
      <c r="J21" s="47" t="n">
        <f aca="false">'Master Task List'!N19</f>
        <v>46</v>
      </c>
    </row>
    <row r="22" customFormat="false" ht="13.5" hidden="false" customHeight="true" outlineLevel="0" collapsed="false">
      <c r="A22" s="47" t="str">
        <f aca="false">'Master Task List'!A20</f>
        <v>DMT-019</v>
      </c>
      <c r="B22" s="47" t="str">
        <f aca="false">'Master Task List'!D20</f>
        <v>تطوير تسجيل الدخول وكلمة المرور</v>
      </c>
      <c r="C22" s="47" t="str">
        <f aca="false">'Master Task List'!B20</f>
        <v>Authentication</v>
      </c>
      <c r="D22" s="47" t="str">
        <f aca="false">'Master Task List'!G20</f>
        <v>خالد الغامدي</v>
      </c>
      <c r="E22" s="47" t="str">
        <f aca="false">'Master Task List'!I20</f>
        <v>Completed</v>
      </c>
      <c r="F22" s="47" t="str">
        <f aca="false">'Master Task List'!F20</f>
        <v>High</v>
      </c>
      <c r="G22" s="47" t="str">
        <f aca="false">'Master Task List'!Q20</f>
        <v>Low</v>
      </c>
      <c r="H22" s="48" t="n">
        <f aca="false">'Master Task List'!K20</f>
        <v>46118</v>
      </c>
      <c r="I22" s="48" t="n">
        <f aca="false">'Master Task List'!L20</f>
        <v>46137</v>
      </c>
      <c r="J22" s="47" t="n">
        <f aca="false">'Master Task List'!N20</f>
        <v>20</v>
      </c>
    </row>
    <row r="23" customFormat="false" ht="13.5" hidden="false" customHeight="true" outlineLevel="0" collapsed="false">
      <c r="A23" s="47" t="str">
        <f aca="false">'Master Task List'!A21</f>
        <v>DMT-020</v>
      </c>
      <c r="B23" s="47" t="str">
        <f aca="false">'Master Task List'!D21</f>
        <v>دمج المصادقة الثنائية (OTP)</v>
      </c>
      <c r="C23" s="47" t="str">
        <f aca="false">'Master Task List'!B21</f>
        <v>Authentication</v>
      </c>
      <c r="D23" s="47" t="str">
        <f aca="false">'Master Task List'!G21</f>
        <v>خالد الغامدي</v>
      </c>
      <c r="E23" s="47" t="str">
        <f aca="false">'Master Task List'!I21</f>
        <v>Completed</v>
      </c>
      <c r="F23" s="47" t="str">
        <f aca="false">'Master Task List'!F21</f>
        <v>High</v>
      </c>
      <c r="G23" s="47" t="str">
        <f aca="false">'Master Task List'!Q21</f>
        <v>Low</v>
      </c>
      <c r="H23" s="48" t="n">
        <f aca="false">'Master Task List'!K21</f>
        <v>46138</v>
      </c>
      <c r="I23" s="48" t="n">
        <f aca="false">'Master Task List'!L21</f>
        <v>46158</v>
      </c>
      <c r="J23" s="47" t="n">
        <f aca="false">'Master Task List'!N21</f>
        <v>21</v>
      </c>
    </row>
    <row r="24" customFormat="false" ht="13.5" hidden="false" customHeight="true" outlineLevel="0" collapsed="false">
      <c r="A24" s="47" t="str">
        <f aca="false">'Master Task List'!A22</f>
        <v>DMT-021</v>
      </c>
      <c r="B24" s="47" t="str">
        <f aca="false">'Master Task List'!D22</f>
        <v>دمج تسجيل الدخول الموحد (SSO/نفاذ)</v>
      </c>
      <c r="C24" s="47" t="str">
        <f aca="false">'Master Task List'!B22</f>
        <v>Authentication</v>
      </c>
      <c r="D24" s="47" t="str">
        <f aca="false">'Master Task List'!G22</f>
        <v>خالد الغامدي</v>
      </c>
      <c r="E24" s="47" t="str">
        <f aca="false">'Master Task List'!I22</f>
        <v>Completed</v>
      </c>
      <c r="F24" s="47" t="str">
        <f aca="false">'Master Task List'!F22</f>
        <v>High</v>
      </c>
      <c r="G24" s="47" t="str">
        <f aca="false">'Master Task List'!Q22</f>
        <v>Low</v>
      </c>
      <c r="H24" s="48" t="n">
        <f aca="false">'Master Task List'!K22</f>
        <v>46159</v>
      </c>
      <c r="I24" s="48" t="n">
        <f aca="false">'Master Task List'!L22</f>
        <v>46178</v>
      </c>
      <c r="J24" s="47" t="n">
        <f aca="false">'Master Task List'!N22</f>
        <v>20</v>
      </c>
    </row>
    <row r="25" customFormat="false" ht="13.5" hidden="false" customHeight="true" outlineLevel="0" collapsed="false">
      <c r="A25" s="47" t="str">
        <f aca="false">'Master Task List'!A23</f>
        <v>DMT-022</v>
      </c>
      <c r="B25" s="47" t="str">
        <f aca="false">'Master Task List'!D23</f>
        <v>بناء نظام الأدوار والصلاحيات</v>
      </c>
      <c r="C25" s="47" t="str">
        <f aca="false">'Master Task List'!B23</f>
        <v>User Management</v>
      </c>
      <c r="D25" s="47" t="str">
        <f aca="false">'Master Task List'!G23</f>
        <v>لمياء العنزي</v>
      </c>
      <c r="E25" s="47" t="str">
        <f aca="false">'Master Task List'!I23</f>
        <v>Completed</v>
      </c>
      <c r="F25" s="47" t="str">
        <f aca="false">'Master Task List'!F23</f>
        <v>Medium</v>
      </c>
      <c r="G25" s="47" t="str">
        <f aca="false">'Master Task List'!Q23</f>
        <v>Low</v>
      </c>
      <c r="H25" s="48" t="n">
        <f aca="false">'Master Task List'!K23</f>
        <v>46149</v>
      </c>
      <c r="I25" s="48" t="n">
        <f aca="false">'Master Task List'!L23</f>
        <v>46173</v>
      </c>
      <c r="J25" s="47" t="n">
        <f aca="false">'Master Task List'!N23</f>
        <v>25</v>
      </c>
    </row>
    <row r="26" customFormat="false" ht="13.5" hidden="false" customHeight="true" outlineLevel="0" collapsed="false">
      <c r="A26" s="47" t="str">
        <f aca="false">'Master Task List'!A24</f>
        <v>DMT-023</v>
      </c>
      <c r="B26" s="47" t="str">
        <f aca="false">'Master Task List'!D24</f>
        <v>تطوير الملف الشخصي للمستخدم</v>
      </c>
      <c r="C26" s="47" t="str">
        <f aca="false">'Master Task List'!B24</f>
        <v>User Management</v>
      </c>
      <c r="D26" s="47" t="str">
        <f aca="false">'Master Task List'!G24</f>
        <v>لمياء العنزي</v>
      </c>
      <c r="E26" s="47" t="str">
        <f aca="false">'Master Task List'!I24</f>
        <v>Review</v>
      </c>
      <c r="F26" s="47" t="str">
        <f aca="false">'Master Task List'!F24</f>
        <v>Medium</v>
      </c>
      <c r="G26" s="47" t="str">
        <f aca="false">'Master Task List'!Q24</f>
        <v>Medium</v>
      </c>
      <c r="H26" s="48" t="n">
        <f aca="false">'Master Task List'!K24</f>
        <v>46174</v>
      </c>
      <c r="I26" s="48" t="n">
        <f aca="false">'Master Task List'!L24</f>
        <v>46199</v>
      </c>
      <c r="J26" s="47" t="n">
        <f aca="false">'Master Task List'!N24</f>
        <v>26</v>
      </c>
    </row>
    <row r="27" customFormat="false" ht="13.5" hidden="false" customHeight="true" outlineLevel="0" collapsed="false">
      <c r="A27" s="47" t="str">
        <f aca="false">'Master Task List'!A25</f>
        <v>DMT-024</v>
      </c>
      <c r="B27" s="47" t="str">
        <f aca="false">'Master Task List'!D25</f>
        <v>إدارة حسابات الشركات</v>
      </c>
      <c r="C27" s="47" t="str">
        <f aca="false">'Master Task List'!B25</f>
        <v>User Management</v>
      </c>
      <c r="D27" s="47" t="str">
        <f aca="false">'Master Task List'!G25</f>
        <v>لمياء العنزي</v>
      </c>
      <c r="E27" s="47" t="str">
        <f aca="false">'Master Task List'!I25</f>
        <v>Testing</v>
      </c>
      <c r="F27" s="47" t="str">
        <f aca="false">'Master Task List'!F25</f>
        <v>Medium</v>
      </c>
      <c r="G27" s="47" t="str">
        <f aca="false">'Master Task List'!Q25</f>
        <v>Medium</v>
      </c>
      <c r="H27" s="48" t="n">
        <f aca="false">'Master Task List'!K25</f>
        <v>46200</v>
      </c>
      <c r="I27" s="48" t="n">
        <f aca="false">'Master Task List'!L25</f>
        <v>46224</v>
      </c>
      <c r="J27" s="47" t="n">
        <f aca="false">'Master Task List'!N25</f>
        <v>25</v>
      </c>
    </row>
    <row r="28" customFormat="false" ht="13.5" hidden="false" customHeight="true" outlineLevel="0" collapsed="false">
      <c r="A28" s="47" t="str">
        <f aca="false">'Master Task List'!A26</f>
        <v>DMT-025</v>
      </c>
      <c r="B28" s="47" t="str">
        <f aca="false">'Master Task List'!D26</f>
        <v>تصميم قاعدة بيانات الضمانات</v>
      </c>
      <c r="C28" s="47" t="str">
        <f aca="false">'Master Task List'!B26</f>
        <v>Guarantee Management</v>
      </c>
      <c r="D28" s="47" t="str">
        <f aca="false">'Master Task List'!G26</f>
        <v>خالد الغامدي</v>
      </c>
      <c r="E28" s="47" t="str">
        <f aca="false">'Master Task List'!I26</f>
        <v>Testing</v>
      </c>
      <c r="F28" s="47" t="str">
        <f aca="false">'Master Task List'!F26</f>
        <v>Critical</v>
      </c>
      <c r="G28" s="47" t="str">
        <f aca="false">'Master Task List'!Q26</f>
        <v>Critical</v>
      </c>
      <c r="H28" s="48" t="n">
        <f aca="false">'Master Task List'!K26</f>
        <v>46164</v>
      </c>
      <c r="I28" s="48" t="n">
        <f aca="false">'Master Task List'!L26</f>
        <v>46193</v>
      </c>
      <c r="J28" s="47" t="n">
        <f aca="false">'Master Task List'!N26</f>
        <v>30</v>
      </c>
    </row>
    <row r="29" customFormat="false" ht="13.5" hidden="false" customHeight="true" outlineLevel="0" collapsed="false">
      <c r="A29" s="47" t="str">
        <f aca="false">'Master Task List'!A27</f>
        <v>DMT-026</v>
      </c>
      <c r="B29" s="47" t="str">
        <f aca="false">'Master Task List'!D27</f>
        <v>تطوير محرك إدارة دورة حياة الضمان</v>
      </c>
      <c r="C29" s="47" t="str">
        <f aca="false">'Master Task List'!B27</f>
        <v>Guarantee Management</v>
      </c>
      <c r="D29" s="47" t="str">
        <f aca="false">'Master Task List'!G27</f>
        <v>خالد الغامدي</v>
      </c>
      <c r="E29" s="47" t="str">
        <f aca="false">'Master Task List'!I27</f>
        <v>Testing</v>
      </c>
      <c r="F29" s="47" t="str">
        <f aca="false">'Master Task List'!F27</f>
        <v>High</v>
      </c>
      <c r="G29" s="47" t="str">
        <f aca="false">'Master Task List'!Q27</f>
        <v>Critical</v>
      </c>
      <c r="H29" s="48" t="n">
        <f aca="false">'Master Task List'!K27</f>
        <v>46194</v>
      </c>
      <c r="I29" s="48" t="n">
        <f aca="false">'Master Task List'!L27</f>
        <v>46224</v>
      </c>
      <c r="J29" s="47" t="n">
        <f aca="false">'Master Task List'!N27</f>
        <v>31</v>
      </c>
    </row>
    <row r="30" customFormat="false" ht="13.5" hidden="false" customHeight="true" outlineLevel="0" collapsed="false">
      <c r="A30" s="47" t="str">
        <f aca="false">'Master Task List'!A28</f>
        <v>DMT-027</v>
      </c>
      <c r="B30" s="47" t="str">
        <f aca="false">'Master Task List'!D28</f>
        <v>تطوير واجهة إدارة الضمانات للمشرفين</v>
      </c>
      <c r="C30" s="47" t="str">
        <f aca="false">'Master Task List'!B28</f>
        <v>Guarantee Management</v>
      </c>
      <c r="D30" s="47" t="str">
        <f aca="false">'Master Task List'!G28</f>
        <v>خالد الغامدي</v>
      </c>
      <c r="E30" s="47" t="str">
        <f aca="false">'Master Task List'!I28</f>
        <v>Development</v>
      </c>
      <c r="F30" s="47" t="str">
        <f aca="false">'Master Task List'!F28</f>
        <v>High</v>
      </c>
      <c r="G30" s="47" t="str">
        <f aca="false">'Master Task List'!Q28</f>
        <v>Critical</v>
      </c>
      <c r="H30" s="48" t="n">
        <f aca="false">'Master Task List'!K28</f>
        <v>46225</v>
      </c>
      <c r="I30" s="48" t="n">
        <f aca="false">'Master Task List'!L28</f>
        <v>46254</v>
      </c>
      <c r="J30" s="47" t="n">
        <f aca="false">'Master Task List'!N28</f>
        <v>30</v>
      </c>
    </row>
    <row r="31" customFormat="false" ht="13.5" hidden="false" customHeight="true" outlineLevel="0" collapsed="false">
      <c r="A31" s="47" t="str">
        <f aca="false">'Master Task List'!A29</f>
        <v>DMT-028</v>
      </c>
      <c r="B31" s="47" t="str">
        <f aca="false">'Master Task List'!D29</f>
        <v>بناء نموذج تسجيل الضمان</v>
      </c>
      <c r="C31" s="47" t="str">
        <f aca="false">'Master Task List'!B29</f>
        <v>Guarantee Registration</v>
      </c>
      <c r="D31" s="47" t="str">
        <f aca="false">'Master Task List'!G29</f>
        <v>لمياء العنزي</v>
      </c>
      <c r="E31" s="47" t="str">
        <f aca="false">'Master Task List'!I29</f>
        <v>Development</v>
      </c>
      <c r="F31" s="47" t="str">
        <f aca="false">'Master Task List'!F29</f>
        <v>Critical</v>
      </c>
      <c r="G31" s="47" t="str">
        <f aca="false">'Master Task List'!Q29</f>
        <v>Critical</v>
      </c>
      <c r="H31" s="48" t="n">
        <f aca="false">'Master Task List'!K29</f>
        <v>46194</v>
      </c>
      <c r="I31" s="48" t="n">
        <f aca="false">'Master Task List'!L29</f>
        <v>46223</v>
      </c>
      <c r="J31" s="47" t="n">
        <f aca="false">'Master Task List'!N29</f>
        <v>30</v>
      </c>
    </row>
    <row r="32" customFormat="false" ht="13.5" hidden="false" customHeight="true" outlineLevel="0" collapsed="false">
      <c r="A32" s="47" t="str">
        <f aca="false">'Master Task List'!A30</f>
        <v>DMT-029</v>
      </c>
      <c r="B32" s="47" t="str">
        <f aca="false">'Master Task List'!D30</f>
        <v>رفع وإدارة المستندات</v>
      </c>
      <c r="C32" s="47" t="str">
        <f aca="false">'Master Task List'!B30</f>
        <v>Guarantee Registration</v>
      </c>
      <c r="D32" s="47" t="str">
        <f aca="false">'Master Task List'!G30</f>
        <v>لمياء العنزي</v>
      </c>
      <c r="E32" s="47" t="str">
        <f aca="false">'Master Task List'!I30</f>
        <v>Design</v>
      </c>
      <c r="F32" s="47" t="str">
        <f aca="false">'Master Task List'!F30</f>
        <v>High</v>
      </c>
      <c r="G32" s="47" t="str">
        <f aca="false">'Master Task List'!Q30</f>
        <v>Critical</v>
      </c>
      <c r="H32" s="48" t="n">
        <f aca="false">'Master Task List'!K30</f>
        <v>46224</v>
      </c>
      <c r="I32" s="48" t="n">
        <f aca="false">'Master Task List'!L30</f>
        <v>46254</v>
      </c>
      <c r="J32" s="47" t="n">
        <f aca="false">'Master Task List'!N30</f>
        <v>31</v>
      </c>
    </row>
    <row r="33" customFormat="false" ht="13.5" hidden="false" customHeight="true" outlineLevel="0" collapsed="false">
      <c r="A33" s="47" t="str">
        <f aca="false">'Master Task List'!A31</f>
        <v>DMT-030</v>
      </c>
      <c r="B33" s="47" t="str">
        <f aca="false">'Master Task List'!D31</f>
        <v>دمج بيانات المتاجر والموردين</v>
      </c>
      <c r="C33" s="47" t="str">
        <f aca="false">'Master Task List'!B31</f>
        <v>Guarantee Registration</v>
      </c>
      <c r="D33" s="47" t="str">
        <f aca="false">'Master Task List'!G31</f>
        <v>لمياء العنزي</v>
      </c>
      <c r="E33" s="47" t="str">
        <f aca="false">'Master Task List'!I31</f>
        <v>Planning</v>
      </c>
      <c r="F33" s="47" t="str">
        <f aca="false">'Master Task List'!F31</f>
        <v>High</v>
      </c>
      <c r="G33" s="47" t="str">
        <f aca="false">'Master Task List'!Q31</f>
        <v>Critical</v>
      </c>
      <c r="H33" s="48" t="n">
        <f aca="false">'Master Task List'!K31</f>
        <v>46255</v>
      </c>
      <c r="I33" s="48" t="n">
        <f aca="false">'Master Task List'!L31</f>
        <v>46284</v>
      </c>
      <c r="J33" s="47" t="n">
        <f aca="false">'Master Task List'!N31</f>
        <v>30</v>
      </c>
    </row>
    <row r="34" customFormat="false" ht="13.5" hidden="false" customHeight="true" outlineLevel="0" collapsed="false">
      <c r="A34" s="47" t="str">
        <f aca="false">'Master Task List'!A32</f>
        <v>DMT-031</v>
      </c>
      <c r="B34" s="47" t="str">
        <f aca="false">'Master Task List'!D32</f>
        <v>بناء خدمة التحقق الفوري</v>
      </c>
      <c r="C34" s="47" t="str">
        <f aca="false">'Master Task List'!B32</f>
        <v>Guarantee Verification</v>
      </c>
      <c r="D34" s="47" t="str">
        <f aca="false">'Master Task List'!G32</f>
        <v>خالد الغامدي</v>
      </c>
      <c r="E34" s="47" t="str">
        <f aca="false">'Master Task List'!I32</f>
        <v>Planning</v>
      </c>
      <c r="F34" s="47" t="str">
        <f aca="false">'Master Task List'!F32</f>
        <v>Critical</v>
      </c>
      <c r="G34" s="47" t="str">
        <f aca="false">'Master Task List'!Q32</f>
        <v>Critical</v>
      </c>
      <c r="H34" s="48" t="n">
        <f aca="false">'Master Task List'!K32</f>
        <v>46225</v>
      </c>
      <c r="I34" s="48" t="n">
        <f aca="false">'Master Task List'!L32</f>
        <v>46254</v>
      </c>
      <c r="J34" s="47" t="n">
        <f aca="false">'Master Task List'!N32</f>
        <v>30</v>
      </c>
    </row>
    <row r="35" customFormat="false" ht="13.5" hidden="false" customHeight="true" outlineLevel="0" collapsed="false">
      <c r="A35" s="47" t="str">
        <f aca="false">'Master Task List'!A33</f>
        <v>DMT-032</v>
      </c>
      <c r="B35" s="47" t="str">
        <f aca="false">'Master Task List'!D33</f>
        <v>دمج التحقق مع أنظمة الموردين</v>
      </c>
      <c r="C35" s="47" t="str">
        <f aca="false">'Master Task List'!B33</f>
        <v>Guarantee Verification</v>
      </c>
      <c r="D35" s="47" t="str">
        <f aca="false">'Master Task List'!G33</f>
        <v>خالد الغامدي</v>
      </c>
      <c r="E35" s="47" t="str">
        <f aca="false">'Master Task List'!I33</f>
        <v>Blocked</v>
      </c>
      <c r="F35" s="47" t="str">
        <f aca="false">'Master Task List'!F33</f>
        <v>High</v>
      </c>
      <c r="G35" s="47" t="str">
        <f aca="false">'Master Task List'!Q33</f>
        <v>Critical</v>
      </c>
      <c r="H35" s="48" t="n">
        <f aca="false">'Master Task List'!K33</f>
        <v>46255</v>
      </c>
      <c r="I35" s="48" t="n">
        <f aca="false">'Master Task List'!L33</f>
        <v>46285</v>
      </c>
      <c r="J35" s="47" t="n">
        <f aca="false">'Master Task List'!N33</f>
        <v>31</v>
      </c>
    </row>
    <row r="36" customFormat="false" ht="13.5" hidden="false" customHeight="true" outlineLevel="0" collapsed="false">
      <c r="A36" s="47" t="str">
        <f aca="false">'Master Task List'!A34</f>
        <v>DMT-033</v>
      </c>
      <c r="B36" s="47" t="str">
        <f aca="false">'Master Task List'!D34</f>
        <v>بناء سجل تدقيق التحقق</v>
      </c>
      <c r="C36" s="47" t="str">
        <f aca="false">'Master Task List'!B34</f>
        <v>Guarantee Verification</v>
      </c>
      <c r="D36" s="47" t="str">
        <f aca="false">'Master Task List'!G34</f>
        <v>خالد الغامدي</v>
      </c>
      <c r="E36" s="47" t="str">
        <f aca="false">'Master Task List'!I34</f>
        <v>Not Started</v>
      </c>
      <c r="F36" s="47" t="str">
        <f aca="false">'Master Task List'!F34</f>
        <v>High</v>
      </c>
      <c r="G36" s="47" t="str">
        <f aca="false">'Master Task List'!Q34</f>
        <v>Critical</v>
      </c>
      <c r="H36" s="48" t="n">
        <f aca="false">'Master Task List'!K34</f>
        <v>46286</v>
      </c>
      <c r="I36" s="48" t="n">
        <f aca="false">'Master Task List'!L34</f>
        <v>46315</v>
      </c>
      <c r="J36" s="47" t="n">
        <f aca="false">'Master Task List'!N34</f>
        <v>30</v>
      </c>
    </row>
    <row r="37" customFormat="false" ht="13.5" hidden="false" customHeight="true" outlineLevel="0" collapsed="false">
      <c r="A37" s="47" t="str">
        <f aca="false">'Master Task List'!A35</f>
        <v>DMT-034</v>
      </c>
      <c r="B37" s="47" t="str">
        <f aca="false">'Master Task List'!D35</f>
        <v>توليد رمز QR لكل ضمان</v>
      </c>
      <c r="C37" s="47" t="str">
        <f aca="false">'Master Task List'!B35</f>
        <v>QR Code System</v>
      </c>
      <c r="D37" s="47" t="str">
        <f aca="false">'Master Task List'!G35</f>
        <v>فيصل المطيري</v>
      </c>
      <c r="E37" s="47" t="str">
        <f aca="false">'Master Task List'!I35</f>
        <v>Not Started</v>
      </c>
      <c r="F37" s="47" t="str">
        <f aca="false">'Master Task List'!F35</f>
        <v>Medium</v>
      </c>
      <c r="G37" s="47" t="str">
        <f aca="false">'Master Task List'!Q35</f>
        <v>Medium</v>
      </c>
      <c r="H37" s="48" t="n">
        <f aca="false">'Master Task List'!K35</f>
        <v>46240</v>
      </c>
      <c r="I37" s="48" t="n">
        <f aca="false">'Master Task List'!L35</f>
        <v>46259</v>
      </c>
      <c r="J37" s="47" t="n">
        <f aca="false">'Master Task List'!N35</f>
        <v>20</v>
      </c>
    </row>
    <row r="38" customFormat="false" ht="13.5" hidden="false" customHeight="true" outlineLevel="0" collapsed="false">
      <c r="A38" s="47" t="str">
        <f aca="false">'Master Task List'!A36</f>
        <v>DMT-035</v>
      </c>
      <c r="B38" s="47" t="str">
        <f aca="false">'Master Task List'!D36</f>
        <v>تطوير ماسح QR داخل التطبيق</v>
      </c>
      <c r="C38" s="47" t="str">
        <f aca="false">'Master Task List'!B36</f>
        <v>QR Code System</v>
      </c>
      <c r="D38" s="47" t="str">
        <f aca="false">'Master Task List'!G36</f>
        <v>فيصل المطيري</v>
      </c>
      <c r="E38" s="47" t="str">
        <f aca="false">'Master Task List'!I36</f>
        <v>Not Started</v>
      </c>
      <c r="F38" s="47" t="str">
        <f aca="false">'Master Task List'!F36</f>
        <v>Medium</v>
      </c>
      <c r="G38" s="47" t="str">
        <f aca="false">'Master Task List'!Q36</f>
        <v>Medium</v>
      </c>
      <c r="H38" s="48" t="n">
        <f aca="false">'Master Task List'!K36</f>
        <v>46260</v>
      </c>
      <c r="I38" s="48" t="n">
        <f aca="false">'Master Task List'!L36</f>
        <v>46280</v>
      </c>
      <c r="J38" s="47" t="n">
        <f aca="false">'Master Task List'!N36</f>
        <v>21</v>
      </c>
    </row>
    <row r="39" customFormat="false" ht="13.5" hidden="false" customHeight="true" outlineLevel="0" collapsed="false">
      <c r="A39" s="47" t="str">
        <f aca="false">'Master Task List'!A37</f>
        <v>DMT-036</v>
      </c>
      <c r="B39" s="47" t="str">
        <f aca="false">'Master Task List'!D37</f>
        <v>طباعة وتوزيع ملصقات QR</v>
      </c>
      <c r="C39" s="47" t="str">
        <f aca="false">'Master Task List'!B37</f>
        <v>QR Code System</v>
      </c>
      <c r="D39" s="47" t="str">
        <f aca="false">'Master Task List'!G37</f>
        <v>فيصل المطيري</v>
      </c>
      <c r="E39" s="47" t="str">
        <f aca="false">'Master Task List'!I37</f>
        <v>Not Started</v>
      </c>
      <c r="F39" s="47" t="str">
        <f aca="false">'Master Task List'!F37</f>
        <v>Medium</v>
      </c>
      <c r="G39" s="47" t="str">
        <f aca="false">'Master Task List'!Q37</f>
        <v>Medium</v>
      </c>
      <c r="H39" s="48" t="n">
        <f aca="false">'Master Task List'!K37</f>
        <v>46281</v>
      </c>
      <c r="I39" s="48" t="n">
        <f aca="false">'Master Task List'!L37</f>
        <v>46300</v>
      </c>
      <c r="J39" s="47" t="n">
        <f aca="false">'Master Task List'!N37</f>
        <v>20</v>
      </c>
    </row>
    <row r="40" customFormat="false" ht="13.5" hidden="false" customHeight="true" outlineLevel="0" collapsed="false">
      <c r="A40" s="47" t="str">
        <f aca="false">'Master Task List'!A38</f>
        <v>DMT-037</v>
      </c>
      <c r="B40" s="47" t="str">
        <f aca="false">'Master Task List'!D38</f>
        <v>بناء محرك الإشعارات الفورية</v>
      </c>
      <c r="C40" s="47" t="str">
        <f aca="false">'Master Task List'!B38</f>
        <v>Notifications</v>
      </c>
      <c r="D40" s="47" t="str">
        <f aca="false">'Master Task List'!G38</f>
        <v>لمياء العنزي</v>
      </c>
      <c r="E40" s="47" t="str">
        <f aca="false">'Master Task List'!I38</f>
        <v>Not Started</v>
      </c>
      <c r="F40" s="47" t="str">
        <f aca="false">'Master Task List'!F38</f>
        <v>Low</v>
      </c>
      <c r="G40" s="47" t="str">
        <f aca="false">'Master Task List'!Q38</f>
        <v>Low</v>
      </c>
      <c r="H40" s="48" t="n">
        <f aca="false">'Master Task List'!K38</f>
        <v>46255</v>
      </c>
      <c r="I40" s="48" t="n">
        <f aca="false">'Master Task List'!L38</f>
        <v>46274</v>
      </c>
      <c r="J40" s="47" t="n">
        <f aca="false">'Master Task List'!N38</f>
        <v>20</v>
      </c>
    </row>
    <row r="41" customFormat="false" ht="13.5" hidden="false" customHeight="true" outlineLevel="0" collapsed="false">
      <c r="A41" s="47" t="str">
        <f aca="false">'Master Task List'!A39</f>
        <v>DMT-038</v>
      </c>
      <c r="B41" s="47" t="str">
        <f aca="false">'Master Task List'!D39</f>
        <v>إشعارات انتهاء صلاحية الضمان</v>
      </c>
      <c r="C41" s="47" t="str">
        <f aca="false">'Master Task List'!B39</f>
        <v>Notifications</v>
      </c>
      <c r="D41" s="47" t="str">
        <f aca="false">'Master Task List'!G39</f>
        <v>لمياء العنزي</v>
      </c>
      <c r="E41" s="47" t="str">
        <f aca="false">'Master Task List'!I39</f>
        <v>Not Started</v>
      </c>
      <c r="F41" s="47" t="str">
        <f aca="false">'Master Task List'!F39</f>
        <v>Medium</v>
      </c>
      <c r="G41" s="47" t="str">
        <f aca="false">'Master Task List'!Q39</f>
        <v>Low</v>
      </c>
      <c r="H41" s="48" t="n">
        <f aca="false">'Master Task List'!K39</f>
        <v>46275</v>
      </c>
      <c r="I41" s="48" t="n">
        <f aca="false">'Master Task List'!L39</f>
        <v>46295</v>
      </c>
      <c r="J41" s="47" t="n">
        <f aca="false">'Master Task List'!N39</f>
        <v>21</v>
      </c>
    </row>
    <row r="42" customFormat="false" ht="13.5" hidden="false" customHeight="true" outlineLevel="0" collapsed="false">
      <c r="A42" s="47" t="str">
        <f aca="false">'Master Task List'!A40</f>
        <v>DMT-039</v>
      </c>
      <c r="B42" s="47" t="str">
        <f aca="false">'Master Task List'!D40</f>
        <v>إشعارات البريد الإلكتروني والرسائل</v>
      </c>
      <c r="C42" s="47" t="str">
        <f aca="false">'Master Task List'!B40</f>
        <v>Notifications</v>
      </c>
      <c r="D42" s="47" t="str">
        <f aca="false">'Master Task List'!G40</f>
        <v>لمياء العنزي</v>
      </c>
      <c r="E42" s="47" t="str">
        <f aca="false">'Master Task List'!I40</f>
        <v>Not Started</v>
      </c>
      <c r="F42" s="47" t="str">
        <f aca="false">'Master Task List'!F40</f>
        <v>Medium</v>
      </c>
      <c r="G42" s="47" t="str">
        <f aca="false">'Master Task List'!Q40</f>
        <v>Low</v>
      </c>
      <c r="H42" s="48" t="n">
        <f aca="false">'Master Task List'!K40</f>
        <v>46296</v>
      </c>
      <c r="I42" s="48" t="n">
        <f aca="false">'Master Task List'!L40</f>
        <v>46315</v>
      </c>
      <c r="J42" s="47" t="n">
        <f aca="false">'Master Task List'!N40</f>
        <v>20</v>
      </c>
    </row>
    <row r="43" customFormat="false" ht="13.5" hidden="false" customHeight="true" outlineLevel="0" collapsed="false">
      <c r="A43" s="47" t="str">
        <f aca="false">'Master Task List'!A41</f>
        <v>DMT-040</v>
      </c>
      <c r="B43" s="47" t="str">
        <f aca="false">'Master Task List'!D41</f>
        <v>بناء محرك بحث الضمانات</v>
      </c>
      <c r="C43" s="47" t="str">
        <f aca="false">'Master Task List'!B41</f>
        <v>Search</v>
      </c>
      <c r="D43" s="47" t="str">
        <f aca="false">'Master Task List'!G41</f>
        <v>ريم الحربي</v>
      </c>
      <c r="E43" s="47" t="str">
        <f aca="false">'Master Task List'!I41</f>
        <v>Not Started</v>
      </c>
      <c r="F43" s="47" t="str">
        <f aca="false">'Master Task List'!F41</f>
        <v>Medium</v>
      </c>
      <c r="G43" s="47" t="str">
        <f aca="false">'Master Task List'!Q41</f>
        <v>Medium</v>
      </c>
      <c r="H43" s="48" t="n">
        <f aca="false">'Master Task List'!K41</f>
        <v>46270</v>
      </c>
      <c r="I43" s="48" t="n">
        <f aca="false">'Master Task List'!L41</f>
        <v>46289</v>
      </c>
      <c r="J43" s="47" t="n">
        <f aca="false">'Master Task List'!N41</f>
        <v>20</v>
      </c>
    </row>
    <row r="44" customFormat="false" ht="13.5" hidden="false" customHeight="true" outlineLevel="0" collapsed="false">
      <c r="A44" s="47" t="str">
        <f aca="false">'Master Task List'!A42</f>
        <v>DMT-041</v>
      </c>
      <c r="B44" s="47" t="str">
        <f aca="false">'Master Task List'!D42</f>
        <v>إضافة الفلاتر المتقدمة</v>
      </c>
      <c r="C44" s="47" t="str">
        <f aca="false">'Master Task List'!B42</f>
        <v>Search</v>
      </c>
      <c r="D44" s="47" t="str">
        <f aca="false">'Master Task List'!G42</f>
        <v>ريم الحربي</v>
      </c>
      <c r="E44" s="47" t="str">
        <f aca="false">'Master Task List'!I42</f>
        <v>Not Started</v>
      </c>
      <c r="F44" s="47" t="str">
        <f aca="false">'Master Task List'!F42</f>
        <v>Medium</v>
      </c>
      <c r="G44" s="47" t="str">
        <f aca="false">'Master Task List'!Q42</f>
        <v>Medium</v>
      </c>
      <c r="H44" s="48" t="n">
        <f aca="false">'Master Task List'!K42</f>
        <v>46290</v>
      </c>
      <c r="I44" s="48" t="n">
        <f aca="false">'Master Task List'!L42</f>
        <v>46310</v>
      </c>
      <c r="J44" s="47" t="n">
        <f aca="false">'Master Task List'!N42</f>
        <v>21</v>
      </c>
    </row>
    <row r="45" customFormat="false" ht="13.5" hidden="false" customHeight="true" outlineLevel="0" collapsed="false">
      <c r="A45" s="47" t="str">
        <f aca="false">'Master Task List'!A43</f>
        <v>DMT-042</v>
      </c>
      <c r="B45" s="47" t="str">
        <f aca="false">'Master Task List'!D43</f>
        <v>تحسين أداء الفهرسة</v>
      </c>
      <c r="C45" s="47" t="str">
        <f aca="false">'Master Task List'!B43</f>
        <v>Search</v>
      </c>
      <c r="D45" s="47" t="str">
        <f aca="false">'Master Task List'!G43</f>
        <v>ريم الحربي</v>
      </c>
      <c r="E45" s="47" t="str">
        <f aca="false">'Master Task List'!I43</f>
        <v>Not Started</v>
      </c>
      <c r="F45" s="47" t="str">
        <f aca="false">'Master Task List'!F43</f>
        <v>Medium</v>
      </c>
      <c r="G45" s="47" t="str">
        <f aca="false">'Master Task List'!Q43</f>
        <v>Medium</v>
      </c>
      <c r="H45" s="48" t="n">
        <f aca="false">'Master Task List'!K43</f>
        <v>46311</v>
      </c>
      <c r="I45" s="48" t="n">
        <f aca="false">'Master Task List'!L43</f>
        <v>46330</v>
      </c>
      <c r="J45" s="47" t="n">
        <f aca="false">'Master Task List'!N43</f>
        <v>20</v>
      </c>
    </row>
    <row r="46" customFormat="false" ht="13.5" hidden="false" customHeight="true" outlineLevel="0" collapsed="false">
      <c r="A46" s="47" t="str">
        <f aca="false">'Master Task List'!A44</f>
        <v>DMT-043</v>
      </c>
      <c r="B46" s="47" t="str">
        <f aca="false">'Master Task List'!D44</f>
        <v>بناء تقارير الضمانات الأساسية</v>
      </c>
      <c r="C46" s="47" t="str">
        <f aca="false">'Master Task List'!B44</f>
        <v>Reports</v>
      </c>
      <c r="D46" s="47" t="str">
        <f aca="false">'Master Task List'!G44</f>
        <v>منيرة القرني</v>
      </c>
      <c r="E46" s="47" t="str">
        <f aca="false">'Master Task List'!I44</f>
        <v>Not Started</v>
      </c>
      <c r="F46" s="47" t="str">
        <f aca="false">'Master Task List'!F44</f>
        <v>Medium</v>
      </c>
      <c r="G46" s="47" t="str">
        <f aca="false">'Master Task List'!Q44</f>
        <v>Medium</v>
      </c>
      <c r="H46" s="48" t="n">
        <f aca="false">'Master Task List'!K44</f>
        <v>46285</v>
      </c>
      <c r="I46" s="48" t="n">
        <f aca="false">'Master Task List'!L44</f>
        <v>46309</v>
      </c>
      <c r="J46" s="47" t="n">
        <f aca="false">'Master Task List'!N44</f>
        <v>25</v>
      </c>
    </row>
    <row r="47" customFormat="false" ht="13.5" hidden="false" customHeight="true" outlineLevel="0" collapsed="false">
      <c r="A47" s="47" t="str">
        <f aca="false">'Master Task List'!A45</f>
        <v>DMT-044</v>
      </c>
      <c r="B47" s="47" t="str">
        <f aca="false">'Master Task List'!D45</f>
        <v>تقارير الأداء الإداري</v>
      </c>
      <c r="C47" s="47" t="str">
        <f aca="false">'Master Task List'!B45</f>
        <v>Reports</v>
      </c>
      <c r="D47" s="47" t="str">
        <f aca="false">'Master Task List'!G45</f>
        <v>منيرة القرني</v>
      </c>
      <c r="E47" s="47" t="str">
        <f aca="false">'Master Task List'!I45</f>
        <v>Not Started</v>
      </c>
      <c r="F47" s="47" t="str">
        <f aca="false">'Master Task List'!F45</f>
        <v>Medium</v>
      </c>
      <c r="G47" s="47" t="str">
        <f aca="false">'Master Task List'!Q45</f>
        <v>Medium</v>
      </c>
      <c r="H47" s="48" t="n">
        <f aca="false">'Master Task List'!K45</f>
        <v>46310</v>
      </c>
      <c r="I47" s="48" t="n">
        <f aca="false">'Master Task List'!L45</f>
        <v>46335</v>
      </c>
      <c r="J47" s="47" t="n">
        <f aca="false">'Master Task List'!N45</f>
        <v>26</v>
      </c>
    </row>
    <row r="48" customFormat="false" ht="13.5" hidden="false" customHeight="true" outlineLevel="0" collapsed="false">
      <c r="A48" s="47" t="str">
        <f aca="false">'Master Task List'!A46</f>
        <v>DMT-045</v>
      </c>
      <c r="B48" s="47" t="str">
        <f aca="false">'Master Task List'!D46</f>
        <v>جدولة التقارير الدورية</v>
      </c>
      <c r="C48" s="47" t="str">
        <f aca="false">'Master Task List'!B46</f>
        <v>Reports</v>
      </c>
      <c r="D48" s="47" t="str">
        <f aca="false">'Master Task List'!G46</f>
        <v>منيرة القرني</v>
      </c>
      <c r="E48" s="47" t="str">
        <f aca="false">'Master Task List'!I46</f>
        <v>Not Started</v>
      </c>
      <c r="F48" s="47" t="str">
        <f aca="false">'Master Task List'!F46</f>
        <v>Medium</v>
      </c>
      <c r="G48" s="47" t="str">
        <f aca="false">'Master Task List'!Q46</f>
        <v>Medium</v>
      </c>
      <c r="H48" s="48" t="n">
        <f aca="false">'Master Task List'!K46</f>
        <v>46336</v>
      </c>
      <c r="I48" s="48" t="n">
        <f aca="false">'Master Task List'!L46</f>
        <v>46360</v>
      </c>
      <c r="J48" s="47" t="n">
        <f aca="false">'Master Task List'!N46</f>
        <v>25</v>
      </c>
    </row>
    <row r="49" customFormat="false" ht="13.5" hidden="false" customHeight="true" outlineLevel="0" collapsed="false">
      <c r="A49" s="47" t="str">
        <f aca="false">'Master Task List'!A47</f>
        <v>DMT-046</v>
      </c>
      <c r="B49" s="47" t="str">
        <f aca="false">'Master Task List'!D47</f>
        <v>بناء لوحة التحليلات التفاعلية</v>
      </c>
      <c r="C49" s="47" t="str">
        <f aca="false">'Master Task List'!B47</f>
        <v>Analytics</v>
      </c>
      <c r="D49" s="47" t="str">
        <f aca="false">'Master Task List'!G47</f>
        <v>منيرة القرني</v>
      </c>
      <c r="E49" s="47" t="str">
        <f aca="false">'Master Task List'!I47</f>
        <v>Not Started</v>
      </c>
      <c r="F49" s="47" t="str">
        <f aca="false">'Master Task List'!F47</f>
        <v>Medium</v>
      </c>
      <c r="G49" s="47" t="str">
        <f aca="false">'Master Task List'!Q47</f>
        <v>Medium</v>
      </c>
      <c r="H49" s="48" t="n">
        <f aca="false">'Master Task List'!K47</f>
        <v>46301</v>
      </c>
      <c r="I49" s="48" t="n">
        <f aca="false">'Master Task List'!L47</f>
        <v>46325</v>
      </c>
      <c r="J49" s="47" t="n">
        <f aca="false">'Master Task List'!N47</f>
        <v>25</v>
      </c>
    </row>
    <row r="50" customFormat="false" ht="13.5" hidden="false" customHeight="true" outlineLevel="0" collapsed="false">
      <c r="A50" s="47" t="str">
        <f aca="false">'Master Task List'!A48</f>
        <v>DMT-047</v>
      </c>
      <c r="B50" s="47" t="str">
        <f aca="false">'Master Task List'!D48</f>
        <v>تحليل سلوك المستخدمين</v>
      </c>
      <c r="C50" s="47" t="str">
        <f aca="false">'Master Task List'!B48</f>
        <v>Analytics</v>
      </c>
      <c r="D50" s="47" t="str">
        <f aca="false">'Master Task List'!G48</f>
        <v>منيرة القرني</v>
      </c>
      <c r="E50" s="47" t="str">
        <f aca="false">'Master Task List'!I48</f>
        <v>Not Started</v>
      </c>
      <c r="F50" s="47" t="str">
        <f aca="false">'Master Task List'!F48</f>
        <v>Medium</v>
      </c>
      <c r="G50" s="47" t="str">
        <f aca="false">'Master Task List'!Q48</f>
        <v>Medium</v>
      </c>
      <c r="H50" s="48" t="n">
        <f aca="false">'Master Task List'!K48</f>
        <v>46326</v>
      </c>
      <c r="I50" s="48" t="n">
        <f aca="false">'Master Task List'!L48</f>
        <v>46351</v>
      </c>
      <c r="J50" s="47" t="n">
        <f aca="false">'Master Task List'!N48</f>
        <v>26</v>
      </c>
    </row>
    <row r="51" customFormat="false" ht="13.5" hidden="false" customHeight="true" outlineLevel="0" collapsed="false">
      <c r="A51" s="47" t="str">
        <f aca="false">'Master Task List'!A49</f>
        <v>DMT-048</v>
      </c>
      <c r="B51" s="47" t="str">
        <f aca="false">'Master Task List'!D49</f>
        <v>مؤشرات الأداء الرئيسية (KPIs)</v>
      </c>
      <c r="C51" s="47" t="str">
        <f aca="false">'Master Task List'!B49</f>
        <v>Analytics</v>
      </c>
      <c r="D51" s="47" t="str">
        <f aca="false">'Master Task List'!G49</f>
        <v>منيرة القرني</v>
      </c>
      <c r="E51" s="47" t="str">
        <f aca="false">'Master Task List'!I49</f>
        <v>Not Started</v>
      </c>
      <c r="F51" s="47" t="str">
        <f aca="false">'Master Task List'!F49</f>
        <v>Medium</v>
      </c>
      <c r="G51" s="47" t="str">
        <f aca="false">'Master Task List'!Q49</f>
        <v>Medium</v>
      </c>
      <c r="H51" s="48" t="n">
        <f aca="false">'Master Task List'!K49</f>
        <v>46352</v>
      </c>
      <c r="I51" s="48" t="n">
        <f aca="false">'Master Task List'!L49</f>
        <v>46376</v>
      </c>
      <c r="J51" s="47" t="n">
        <f aca="false">'Master Task List'!N49</f>
        <v>25</v>
      </c>
    </row>
    <row r="52" customFormat="false" ht="13.5" hidden="false" customHeight="true" outlineLevel="0" collapsed="false">
      <c r="A52" s="47" t="str">
        <f aca="false">'Master Task List'!A50</f>
        <v>DMT-049</v>
      </c>
      <c r="B52" s="47" t="str">
        <f aca="false">'Master Task List'!D50</f>
        <v>نموذج التعرف على الفواتير (OCR)</v>
      </c>
      <c r="C52" s="47" t="str">
        <f aca="false">'Master Task List'!B50</f>
        <v>AI Features</v>
      </c>
      <c r="D52" s="47" t="str">
        <f aca="false">'Master Task List'!G50</f>
        <v>منيرة القرني</v>
      </c>
      <c r="E52" s="47" t="str">
        <f aca="false">'Master Task List'!I50</f>
        <v>Blocked</v>
      </c>
      <c r="F52" s="47" t="str">
        <f aca="false">'Master Task List'!F50</f>
        <v>High</v>
      </c>
      <c r="G52" s="47" t="str">
        <f aca="false">'Master Task List'!Q50</f>
        <v>High</v>
      </c>
      <c r="H52" s="48" t="n">
        <f aca="false">'Master Task List'!K50</f>
        <v>46316</v>
      </c>
      <c r="I52" s="48" t="n">
        <f aca="false">'Master Task List'!L50</f>
        <v>46345</v>
      </c>
      <c r="J52" s="47" t="n">
        <f aca="false">'Master Task List'!N50</f>
        <v>30</v>
      </c>
    </row>
    <row r="53" customFormat="false" ht="13.5" hidden="false" customHeight="true" outlineLevel="0" collapsed="false">
      <c r="A53" s="47" t="str">
        <f aca="false">'Master Task List'!A51</f>
        <v>DMT-050</v>
      </c>
      <c r="B53" s="47" t="str">
        <f aca="false">'Master Task List'!D51</f>
        <v>كشف الضمانات المزيفة</v>
      </c>
      <c r="C53" s="47" t="str">
        <f aca="false">'Master Task List'!B51</f>
        <v>AI Features</v>
      </c>
      <c r="D53" s="47" t="str">
        <f aca="false">'Master Task List'!G51</f>
        <v>منيرة القرني</v>
      </c>
      <c r="E53" s="47" t="str">
        <f aca="false">'Master Task List'!I51</f>
        <v>Not Started</v>
      </c>
      <c r="F53" s="47" t="str">
        <f aca="false">'Master Task List'!F51</f>
        <v>High</v>
      </c>
      <c r="G53" s="47" t="str">
        <f aca="false">'Master Task List'!Q51</f>
        <v>High</v>
      </c>
      <c r="H53" s="48" t="n">
        <f aca="false">'Master Task List'!K51</f>
        <v>46346</v>
      </c>
      <c r="I53" s="48" t="n">
        <f aca="false">'Master Task List'!L51</f>
        <v>46376</v>
      </c>
      <c r="J53" s="47" t="n">
        <f aca="false">'Master Task List'!N51</f>
        <v>31</v>
      </c>
    </row>
    <row r="54" customFormat="false" ht="13.5" hidden="false" customHeight="true" outlineLevel="0" collapsed="false">
      <c r="A54" s="47" t="str">
        <f aca="false">'Master Task List'!A52</f>
        <v>DMT-051</v>
      </c>
      <c r="B54" s="47" t="str">
        <f aca="false">'Master Task List'!D52</f>
        <v>مساعد ذكي للدعم الفني</v>
      </c>
      <c r="C54" s="47" t="str">
        <f aca="false">'Master Task List'!B52</f>
        <v>AI Features</v>
      </c>
      <c r="D54" s="47" t="str">
        <f aca="false">'Master Task List'!G52</f>
        <v>منيرة القرني</v>
      </c>
      <c r="E54" s="47" t="str">
        <f aca="false">'Master Task List'!I52</f>
        <v>Not Started</v>
      </c>
      <c r="F54" s="47" t="str">
        <f aca="false">'Master Task List'!F52</f>
        <v>High</v>
      </c>
      <c r="G54" s="47" t="str">
        <f aca="false">'Master Task List'!Q52</f>
        <v>High</v>
      </c>
      <c r="H54" s="48" t="n">
        <f aca="false">'Master Task List'!K52</f>
        <v>46377</v>
      </c>
      <c r="I54" s="48" t="n">
        <f aca="false">'Master Task List'!L52</f>
        <v>46406</v>
      </c>
      <c r="J54" s="47" t="n">
        <f aca="false">'Master Task List'!N52</f>
        <v>30</v>
      </c>
    </row>
    <row r="55" customFormat="false" ht="13.5" hidden="false" customHeight="true" outlineLevel="0" collapsed="false">
      <c r="A55" s="47" t="str">
        <f aca="false">'Master Task List'!A53</f>
        <v>DMT-052</v>
      </c>
      <c r="B55" s="47" t="str">
        <f aca="false">'Master Task List'!D53</f>
        <v>بناء لوحة تحكم المشرفين</v>
      </c>
      <c r="C55" s="47" t="str">
        <f aca="false">'Master Task List'!B53</f>
        <v>Admin Dashboard</v>
      </c>
      <c r="D55" s="47" t="str">
        <f aca="false">'Master Task List'!G53</f>
        <v>ريم الحربي</v>
      </c>
      <c r="E55" s="47" t="str">
        <f aca="false">'Master Task List'!I53</f>
        <v>Not Started</v>
      </c>
      <c r="F55" s="47" t="str">
        <f aca="false">'Master Task List'!F53</f>
        <v>Medium</v>
      </c>
      <c r="G55" s="47" t="str">
        <f aca="false">'Master Task List'!Q53</f>
        <v>Medium</v>
      </c>
      <c r="H55" s="48" t="n">
        <f aca="false">'Master Task List'!K53</f>
        <v>46285</v>
      </c>
      <c r="I55" s="48" t="n">
        <f aca="false">'Master Task List'!L53</f>
        <v>46309</v>
      </c>
      <c r="J55" s="47" t="n">
        <f aca="false">'Master Task List'!N53</f>
        <v>25</v>
      </c>
    </row>
    <row r="56" customFormat="false" ht="13.5" hidden="false" customHeight="true" outlineLevel="0" collapsed="false">
      <c r="A56" s="47" t="str">
        <f aca="false">'Master Task List'!A54</f>
        <v>DMT-053</v>
      </c>
      <c r="B56" s="47" t="str">
        <f aca="false">'Master Task List'!D54</f>
        <v>إدارة المستخدمين والصلاحيات</v>
      </c>
      <c r="C56" s="47" t="str">
        <f aca="false">'Master Task List'!B54</f>
        <v>Admin Dashboard</v>
      </c>
      <c r="D56" s="47" t="str">
        <f aca="false">'Master Task List'!G54</f>
        <v>ريم الحربي</v>
      </c>
      <c r="E56" s="47" t="str">
        <f aca="false">'Master Task List'!I54</f>
        <v>Not Started</v>
      </c>
      <c r="F56" s="47" t="str">
        <f aca="false">'Master Task List'!F54</f>
        <v>Medium</v>
      </c>
      <c r="G56" s="47" t="str">
        <f aca="false">'Master Task List'!Q54</f>
        <v>Medium</v>
      </c>
      <c r="H56" s="48" t="n">
        <f aca="false">'Master Task List'!K54</f>
        <v>46310</v>
      </c>
      <c r="I56" s="48" t="n">
        <f aca="false">'Master Task List'!L54</f>
        <v>46335</v>
      </c>
      <c r="J56" s="47" t="n">
        <f aca="false">'Master Task List'!N54</f>
        <v>26</v>
      </c>
    </row>
    <row r="57" customFormat="false" ht="13.5" hidden="false" customHeight="true" outlineLevel="0" collapsed="false">
      <c r="A57" s="47" t="str">
        <f aca="false">'Master Task List'!A55</f>
        <v>DMT-054</v>
      </c>
      <c r="B57" s="47" t="str">
        <f aca="false">'Master Task List'!D55</f>
        <v>سجل النشاطات والتدقيق</v>
      </c>
      <c r="C57" s="47" t="str">
        <f aca="false">'Master Task List'!B55</f>
        <v>Admin Dashboard</v>
      </c>
      <c r="D57" s="47" t="str">
        <f aca="false">'Master Task List'!G55</f>
        <v>ريم الحربي</v>
      </c>
      <c r="E57" s="47" t="str">
        <f aca="false">'Master Task List'!I55</f>
        <v>Not Started</v>
      </c>
      <c r="F57" s="47" t="str">
        <f aca="false">'Master Task List'!F55</f>
        <v>Medium</v>
      </c>
      <c r="G57" s="47" t="str">
        <f aca="false">'Master Task List'!Q55</f>
        <v>Medium</v>
      </c>
      <c r="H57" s="48" t="n">
        <f aca="false">'Master Task List'!K55</f>
        <v>46336</v>
      </c>
      <c r="I57" s="48" t="n">
        <f aca="false">'Master Task List'!L55</f>
        <v>46360</v>
      </c>
      <c r="J57" s="47" t="n">
        <f aca="false">'Master Task List'!N55</f>
        <v>25</v>
      </c>
    </row>
    <row r="58" customFormat="false" ht="13.5" hidden="false" customHeight="true" outlineLevel="0" collapsed="false">
      <c r="A58" s="47" t="str">
        <f aca="false">'Master Task List'!A56</f>
        <v>DMT-055</v>
      </c>
      <c r="B58" s="47" t="str">
        <f aca="false">'Master Task List'!D56</f>
        <v>تصميم معايير REST API</v>
      </c>
      <c r="C58" s="47" t="str">
        <f aca="false">'Master Task List'!B56</f>
        <v>API Development</v>
      </c>
      <c r="D58" s="47" t="str">
        <f aca="false">'Master Task List'!G56</f>
        <v>خالد الغامدي</v>
      </c>
      <c r="E58" s="47" t="str">
        <f aca="false">'Master Task List'!I56</f>
        <v>Development</v>
      </c>
      <c r="F58" s="47" t="str">
        <f aca="false">'Master Task List'!F56</f>
        <v>High</v>
      </c>
      <c r="G58" s="47" t="str">
        <f aca="false">'Master Task List'!Q56</f>
        <v>High</v>
      </c>
      <c r="H58" s="48" t="n">
        <f aca="false">'Master Task List'!K56</f>
        <v>46133</v>
      </c>
      <c r="I58" s="48" t="n">
        <f aca="false">'Master Task List'!L56</f>
        <v>46203</v>
      </c>
      <c r="J58" s="47" t="n">
        <f aca="false">'Master Task List'!N56</f>
        <v>71</v>
      </c>
    </row>
    <row r="59" customFormat="false" ht="13.5" hidden="false" customHeight="true" outlineLevel="0" collapsed="false">
      <c r="A59" s="47" t="str">
        <f aca="false">'Master Task List'!A57</f>
        <v>DMT-056</v>
      </c>
      <c r="B59" s="47" t="str">
        <f aca="false">'Master Task List'!D57</f>
        <v>تطوير واجهات إدارة الضمانات</v>
      </c>
      <c r="C59" s="47" t="str">
        <f aca="false">'Master Task List'!B57</f>
        <v>API Development</v>
      </c>
      <c r="D59" s="47" t="str">
        <f aca="false">'Master Task List'!G57</f>
        <v>خالد الغامدي</v>
      </c>
      <c r="E59" s="47" t="str">
        <f aca="false">'Master Task List'!I57</f>
        <v>Development</v>
      </c>
      <c r="F59" s="47" t="str">
        <f aca="false">'Master Task List'!F57</f>
        <v>High</v>
      </c>
      <c r="G59" s="47" t="str">
        <f aca="false">'Master Task List'!Q57</f>
        <v>High</v>
      </c>
      <c r="H59" s="48" t="n">
        <f aca="false">'Master Task List'!K57</f>
        <v>46204</v>
      </c>
      <c r="I59" s="48" t="n">
        <f aca="false">'Master Task List'!L57</f>
        <v>46274</v>
      </c>
      <c r="J59" s="47" t="n">
        <f aca="false">'Master Task List'!N57</f>
        <v>71</v>
      </c>
    </row>
    <row r="60" customFormat="false" ht="13.5" hidden="false" customHeight="true" outlineLevel="0" collapsed="false">
      <c r="A60" s="47" t="str">
        <f aca="false">'Master Task List'!A58</f>
        <v>DMT-057</v>
      </c>
      <c r="B60" s="47" t="str">
        <f aca="false">'Master Task List'!D58</f>
        <v>توثيق الواجهات البرمجية</v>
      </c>
      <c r="C60" s="47" t="str">
        <f aca="false">'Master Task List'!B58</f>
        <v>API Development</v>
      </c>
      <c r="D60" s="47" t="str">
        <f aca="false">'Master Task List'!G58</f>
        <v>خالد الغامدي</v>
      </c>
      <c r="E60" s="47" t="str">
        <f aca="false">'Master Task List'!I58</f>
        <v>Planning</v>
      </c>
      <c r="F60" s="47" t="str">
        <f aca="false">'Master Task List'!F58</f>
        <v>High</v>
      </c>
      <c r="G60" s="47" t="str">
        <f aca="false">'Master Task List'!Q58</f>
        <v>High</v>
      </c>
      <c r="H60" s="48" t="n">
        <f aca="false">'Master Task List'!K58</f>
        <v>46275</v>
      </c>
      <c r="I60" s="48" t="n">
        <f aca="false">'Master Task List'!L58</f>
        <v>46345</v>
      </c>
      <c r="J60" s="47" t="n">
        <f aca="false">'Master Task List'!N58</f>
        <v>71</v>
      </c>
    </row>
    <row r="61" customFormat="false" ht="13.5" hidden="false" customHeight="true" outlineLevel="0" collapsed="false">
      <c r="A61" s="47" t="str">
        <f aca="false">'Master Task List'!A59</f>
        <v>DMT-058</v>
      </c>
      <c r="B61" s="47" t="str">
        <f aca="false">'Master Task List'!D59</f>
        <v>تصميم مخطط قاعدة البيانات</v>
      </c>
      <c r="C61" s="47" t="str">
        <f aca="false">'Master Task List'!B59</f>
        <v>Database</v>
      </c>
      <c r="D61" s="47" t="str">
        <f aca="false">'Master Task List'!G59</f>
        <v>لمياء العنزي</v>
      </c>
      <c r="E61" s="47" t="str">
        <f aca="false">'Master Task List'!I59</f>
        <v>Testing</v>
      </c>
      <c r="F61" s="47" t="str">
        <f aca="false">'Master Task List'!F59</f>
        <v>High</v>
      </c>
      <c r="G61" s="47" t="str">
        <f aca="false">'Master Task List'!Q59</f>
        <v>High</v>
      </c>
      <c r="H61" s="48" t="n">
        <f aca="false">'Master Task List'!K59</f>
        <v>46103</v>
      </c>
      <c r="I61" s="48" t="n">
        <f aca="false">'Master Task List'!L59</f>
        <v>46168</v>
      </c>
      <c r="J61" s="47" t="n">
        <f aca="false">'Master Task List'!N59</f>
        <v>66</v>
      </c>
    </row>
    <row r="62" customFormat="false" ht="13.5" hidden="false" customHeight="true" outlineLevel="0" collapsed="false">
      <c r="A62" s="47" t="str">
        <f aca="false">'Master Task List'!A60</f>
        <v>DMT-059</v>
      </c>
      <c r="B62" s="47" t="str">
        <f aca="false">'Master Task List'!D60</f>
        <v>إعداد بيئة قاعدة البيانات السحابية</v>
      </c>
      <c r="C62" s="47" t="str">
        <f aca="false">'Master Task List'!B60</f>
        <v>Database</v>
      </c>
      <c r="D62" s="47" t="str">
        <f aca="false">'Master Task List'!G60</f>
        <v>لمياء العنزي</v>
      </c>
      <c r="E62" s="47" t="str">
        <f aca="false">'Master Task List'!I60</f>
        <v>Development</v>
      </c>
      <c r="F62" s="47" t="str">
        <f aca="false">'Master Task List'!F60</f>
        <v>High</v>
      </c>
      <c r="G62" s="47" t="str">
        <f aca="false">'Master Task List'!Q60</f>
        <v>High</v>
      </c>
      <c r="H62" s="48" t="n">
        <f aca="false">'Master Task List'!K60</f>
        <v>46169</v>
      </c>
      <c r="I62" s="48" t="n">
        <f aca="false">'Master Task List'!L60</f>
        <v>46234</v>
      </c>
      <c r="J62" s="47" t="n">
        <f aca="false">'Master Task List'!N60</f>
        <v>66</v>
      </c>
    </row>
    <row r="63" customFormat="false" ht="13.5" hidden="false" customHeight="true" outlineLevel="0" collapsed="false">
      <c r="A63" s="47" t="str">
        <f aca="false">'Master Task List'!A61</f>
        <v>DMT-060</v>
      </c>
      <c r="B63" s="47" t="str">
        <f aca="false">'Master Task List'!D61</f>
        <v>تحسين الأداء والفهرسة</v>
      </c>
      <c r="C63" s="47" t="str">
        <f aca="false">'Master Task List'!B61</f>
        <v>Database</v>
      </c>
      <c r="D63" s="47" t="str">
        <f aca="false">'Master Task List'!G61</f>
        <v>لمياء العنزي</v>
      </c>
      <c r="E63" s="47" t="str">
        <f aca="false">'Master Task List'!I61</f>
        <v>Design</v>
      </c>
      <c r="F63" s="47" t="str">
        <f aca="false">'Master Task List'!F61</f>
        <v>High</v>
      </c>
      <c r="G63" s="47" t="str">
        <f aca="false">'Master Task List'!Q61</f>
        <v>High</v>
      </c>
      <c r="H63" s="48" t="n">
        <f aca="false">'Master Task List'!K61</f>
        <v>46235</v>
      </c>
      <c r="I63" s="48" t="n">
        <f aca="false">'Master Task List'!L61</f>
        <v>46300</v>
      </c>
      <c r="J63" s="47" t="n">
        <f aca="false">'Master Task List'!N61</f>
        <v>66</v>
      </c>
    </row>
    <row r="64" customFormat="false" ht="13.5" hidden="false" customHeight="true" outlineLevel="0" collapsed="false">
      <c r="A64" s="47" t="str">
        <f aca="false">'Master Task List'!A62</f>
        <v>DMT-061</v>
      </c>
      <c r="B64" s="47" t="str">
        <f aca="false">'Master Task List'!D62</f>
        <v>إعداد بيئة السحابة الأساسية</v>
      </c>
      <c r="C64" s="47" t="str">
        <f aca="false">'Master Task List'!B62</f>
        <v>Cloud Infrastructure</v>
      </c>
      <c r="D64" s="47" t="str">
        <f aca="false">'Master Task List'!G62</f>
        <v>تركي السبيعي</v>
      </c>
      <c r="E64" s="47" t="str">
        <f aca="false">'Master Task List'!I62</f>
        <v>Development</v>
      </c>
      <c r="F64" s="47" t="str">
        <f aca="false">'Master Task List'!F62</f>
        <v>High</v>
      </c>
      <c r="G64" s="47" t="str">
        <f aca="false">'Master Task List'!Q62</f>
        <v>High</v>
      </c>
      <c r="H64" s="48" t="n">
        <f aca="false">'Master Task List'!K62</f>
        <v>46103</v>
      </c>
      <c r="I64" s="48" t="n">
        <f aca="false">'Master Task List'!L62</f>
        <v>46173</v>
      </c>
      <c r="J64" s="47" t="n">
        <f aca="false">'Master Task List'!N62</f>
        <v>71</v>
      </c>
    </row>
    <row r="65" customFormat="false" ht="13.5" hidden="false" customHeight="true" outlineLevel="0" collapsed="false">
      <c r="A65" s="47" t="str">
        <f aca="false">'Master Task List'!A63</f>
        <v>DMT-062</v>
      </c>
      <c r="B65" s="47" t="str">
        <f aca="false">'Master Task List'!D63</f>
        <v>إعداد خطوط CI/CD</v>
      </c>
      <c r="C65" s="47" t="str">
        <f aca="false">'Master Task List'!B63</f>
        <v>Cloud Infrastructure</v>
      </c>
      <c r="D65" s="47" t="str">
        <f aca="false">'Master Task List'!G63</f>
        <v>تركي السبيعي</v>
      </c>
      <c r="E65" s="47" t="str">
        <f aca="false">'Master Task List'!I63</f>
        <v>Development</v>
      </c>
      <c r="F65" s="47" t="str">
        <f aca="false">'Master Task List'!F63</f>
        <v>High</v>
      </c>
      <c r="G65" s="47" t="str">
        <f aca="false">'Master Task List'!Q63</f>
        <v>High</v>
      </c>
      <c r="H65" s="48" t="n">
        <f aca="false">'Master Task List'!K63</f>
        <v>46174</v>
      </c>
      <c r="I65" s="48" t="n">
        <f aca="false">'Master Task List'!L63</f>
        <v>46244</v>
      </c>
      <c r="J65" s="47" t="n">
        <f aca="false">'Master Task List'!N63</f>
        <v>71</v>
      </c>
    </row>
    <row r="66" customFormat="false" ht="13.5" hidden="false" customHeight="true" outlineLevel="0" collapsed="false">
      <c r="A66" s="47" t="str">
        <f aca="false">'Master Task List'!A64</f>
        <v>DMT-063</v>
      </c>
      <c r="B66" s="47" t="str">
        <f aca="false">'Master Task List'!D64</f>
        <v>إعداد المراقبة والتنبيهات</v>
      </c>
      <c r="C66" s="47" t="str">
        <f aca="false">'Master Task List'!B64</f>
        <v>Cloud Infrastructure</v>
      </c>
      <c r="D66" s="47" t="str">
        <f aca="false">'Master Task List'!G64</f>
        <v>تركي السبيعي</v>
      </c>
      <c r="E66" s="47" t="str">
        <f aca="false">'Master Task List'!I64</f>
        <v>Design</v>
      </c>
      <c r="F66" s="47" t="str">
        <f aca="false">'Master Task List'!F64</f>
        <v>High</v>
      </c>
      <c r="G66" s="47" t="str">
        <f aca="false">'Master Task List'!Q64</f>
        <v>High</v>
      </c>
      <c r="H66" s="48" t="n">
        <f aca="false">'Master Task List'!K64</f>
        <v>46245</v>
      </c>
      <c r="I66" s="48" t="n">
        <f aca="false">'Master Task List'!L64</f>
        <v>46315</v>
      </c>
      <c r="J66" s="47" t="n">
        <f aca="false">'Master Task List'!N64</f>
        <v>71</v>
      </c>
    </row>
    <row r="67" customFormat="false" ht="13.5" hidden="false" customHeight="true" outlineLevel="0" collapsed="false">
      <c r="A67" s="47" t="str">
        <f aca="false">'Master Task List'!A65</f>
        <v>DMT-064</v>
      </c>
      <c r="B67" s="47" t="str">
        <f aca="false">'Master Task List'!D65</f>
        <v>تقييم المخاطر الأمنية</v>
      </c>
      <c r="C67" s="47" t="str">
        <f aca="false">'Master Task List'!B65</f>
        <v>Security</v>
      </c>
      <c r="D67" s="47" t="str">
        <f aca="false">'Master Task List'!G65</f>
        <v>عمر باقادر</v>
      </c>
      <c r="E67" s="47" t="str">
        <f aca="false">'Master Task List'!I65</f>
        <v>Development</v>
      </c>
      <c r="F67" s="47" t="str">
        <f aca="false">'Master Task List'!F65</f>
        <v>Critical</v>
      </c>
      <c r="G67" s="47" t="str">
        <f aca="false">'Master Task List'!Q65</f>
        <v>Critical</v>
      </c>
      <c r="H67" s="48" t="n">
        <f aca="false">'Master Task List'!K65</f>
        <v>46179</v>
      </c>
      <c r="I67" s="48" t="n">
        <f aca="false">'Master Task List'!L65</f>
        <v>46229</v>
      </c>
      <c r="J67" s="47" t="n">
        <f aca="false">'Master Task List'!N65</f>
        <v>51</v>
      </c>
    </row>
    <row r="68" customFormat="false" ht="13.5" hidden="false" customHeight="true" outlineLevel="0" collapsed="false">
      <c r="A68" s="47" t="str">
        <f aca="false">'Master Task List'!A66</f>
        <v>DMT-065</v>
      </c>
      <c r="B68" s="47" t="str">
        <f aca="false">'Master Task List'!D66</f>
        <v>تشفير البيانات الحساسة</v>
      </c>
      <c r="C68" s="47" t="str">
        <f aca="false">'Master Task List'!B66</f>
        <v>Security</v>
      </c>
      <c r="D68" s="47" t="str">
        <f aca="false">'Master Task List'!G66</f>
        <v>عمر باقادر</v>
      </c>
      <c r="E68" s="47" t="str">
        <f aca="false">'Master Task List'!I66</f>
        <v>Design</v>
      </c>
      <c r="F68" s="47" t="str">
        <f aca="false">'Master Task List'!F66</f>
        <v>High</v>
      </c>
      <c r="G68" s="47" t="str">
        <f aca="false">'Master Task List'!Q66</f>
        <v>Critical</v>
      </c>
      <c r="H68" s="48" t="n">
        <f aca="false">'Master Task List'!K66</f>
        <v>46230</v>
      </c>
      <c r="I68" s="48" t="n">
        <f aca="false">'Master Task List'!L66</f>
        <v>46279</v>
      </c>
      <c r="J68" s="47" t="n">
        <f aca="false">'Master Task List'!N66</f>
        <v>50</v>
      </c>
    </row>
    <row r="69" customFormat="false" ht="13.5" hidden="false" customHeight="true" outlineLevel="0" collapsed="false">
      <c r="A69" s="47" t="str">
        <f aca="false">'Master Task List'!A67</f>
        <v>DMT-066</v>
      </c>
      <c r="B69" s="47" t="str">
        <f aca="false">'Master Task List'!D67</f>
        <v>اختبار الاختراق</v>
      </c>
      <c r="C69" s="47" t="str">
        <f aca="false">'Master Task List'!B67</f>
        <v>Security</v>
      </c>
      <c r="D69" s="47" t="str">
        <f aca="false">'Master Task List'!G67</f>
        <v>عمر باقادر</v>
      </c>
      <c r="E69" s="47" t="str">
        <f aca="false">'Master Task List'!I67</f>
        <v>Not Started</v>
      </c>
      <c r="F69" s="47" t="str">
        <f aca="false">'Master Task List'!F67</f>
        <v>High</v>
      </c>
      <c r="G69" s="47" t="str">
        <f aca="false">'Master Task List'!Q67</f>
        <v>Critical</v>
      </c>
      <c r="H69" s="48" t="n">
        <f aca="false">'Master Task List'!K67</f>
        <v>46280</v>
      </c>
      <c r="I69" s="48" t="n">
        <f aca="false">'Master Task List'!L67</f>
        <v>46330</v>
      </c>
      <c r="J69" s="47" t="n">
        <f aca="false">'Master Task List'!N67</f>
        <v>51</v>
      </c>
    </row>
    <row r="70" customFormat="false" ht="13.5" hidden="false" customHeight="true" outlineLevel="0" collapsed="false">
      <c r="A70" s="47" t="str">
        <f aca="false">'Master Task List'!A68</f>
        <v>DMT-067</v>
      </c>
      <c r="B70" s="47" t="str">
        <f aca="false">'Master Task List'!D68</f>
        <v>إعداد خطة الاختبار الشاملة</v>
      </c>
      <c r="C70" s="47" t="str">
        <f aca="false">'Master Task List'!B68</f>
        <v>Testing</v>
      </c>
      <c r="D70" s="47" t="str">
        <f aca="false">'Master Task List'!G68</f>
        <v>هند الزهراني</v>
      </c>
      <c r="E70" s="47" t="str">
        <f aca="false">'Master Task List'!I68</f>
        <v>Not Started</v>
      </c>
      <c r="F70" s="47" t="str">
        <f aca="false">'Master Task List'!F68</f>
        <v>High</v>
      </c>
      <c r="G70" s="47" t="str">
        <f aca="false">'Master Task List'!Q68</f>
        <v>High</v>
      </c>
      <c r="H70" s="48" t="n">
        <f aca="false">'Master Task List'!K68</f>
        <v>46331</v>
      </c>
      <c r="I70" s="48" t="n">
        <f aca="false">'Master Task List'!L68</f>
        <v>46355</v>
      </c>
      <c r="J70" s="47" t="n">
        <f aca="false">'Master Task List'!N68</f>
        <v>25</v>
      </c>
    </row>
    <row r="71" customFormat="false" ht="13.5" hidden="false" customHeight="true" outlineLevel="0" collapsed="false">
      <c r="A71" s="47" t="str">
        <f aca="false">'Master Task List'!A69</f>
        <v>DMT-068</v>
      </c>
      <c r="B71" s="47" t="str">
        <f aca="false">'Master Task List'!D69</f>
        <v>تنفيذ اختبارات الوحدة والتكامل</v>
      </c>
      <c r="C71" s="47" t="str">
        <f aca="false">'Master Task List'!B69</f>
        <v>Testing</v>
      </c>
      <c r="D71" s="47" t="str">
        <f aca="false">'Master Task List'!G69</f>
        <v>هند الزهراني</v>
      </c>
      <c r="E71" s="47" t="str">
        <f aca="false">'Master Task List'!I69</f>
        <v>Not Started</v>
      </c>
      <c r="F71" s="47" t="str">
        <f aca="false">'Master Task List'!F69</f>
        <v>High</v>
      </c>
      <c r="G71" s="47" t="str">
        <f aca="false">'Master Task List'!Q69</f>
        <v>High</v>
      </c>
      <c r="H71" s="48" t="n">
        <f aca="false">'Master Task List'!K69</f>
        <v>46356</v>
      </c>
      <c r="I71" s="48" t="n">
        <f aca="false">'Master Task List'!L69</f>
        <v>46381</v>
      </c>
      <c r="J71" s="47" t="n">
        <f aca="false">'Master Task List'!N69</f>
        <v>26</v>
      </c>
    </row>
    <row r="72" customFormat="false" ht="13.5" hidden="false" customHeight="true" outlineLevel="0" collapsed="false">
      <c r="A72" s="47" t="str">
        <f aca="false">'Master Task List'!A70</f>
        <v>DMT-069</v>
      </c>
      <c r="B72" s="47" t="str">
        <f aca="false">'Master Task List'!D70</f>
        <v>اختبار قبول المستخدم (UAT)</v>
      </c>
      <c r="C72" s="47" t="str">
        <f aca="false">'Master Task List'!B70</f>
        <v>Testing</v>
      </c>
      <c r="D72" s="47" t="str">
        <f aca="false">'Master Task List'!G70</f>
        <v>هند الزهراني</v>
      </c>
      <c r="E72" s="47" t="str">
        <f aca="false">'Master Task List'!I70</f>
        <v>Not Started</v>
      </c>
      <c r="F72" s="47" t="str">
        <f aca="false">'Master Task List'!F70</f>
        <v>High</v>
      </c>
      <c r="G72" s="47" t="str">
        <f aca="false">'Master Task List'!Q70</f>
        <v>High</v>
      </c>
      <c r="H72" s="48" t="n">
        <f aca="false">'Master Task List'!K70</f>
        <v>46382</v>
      </c>
      <c r="I72" s="48" t="n">
        <f aca="false">'Master Task List'!L70</f>
        <v>46406</v>
      </c>
      <c r="J72" s="47" t="n">
        <f aca="false">'Master Task List'!N70</f>
        <v>25</v>
      </c>
    </row>
    <row r="73" customFormat="false" ht="13.5" hidden="false" customHeight="true" outlineLevel="0" collapsed="false">
      <c r="A73" s="47" t="str">
        <f aca="false">'Master Task List'!A71</f>
        <v>DMT-070</v>
      </c>
      <c r="B73" s="47" t="str">
        <f aca="false">'Master Task List'!D71</f>
        <v>اختبار تحمل الأحمال (Load Testing)</v>
      </c>
      <c r="C73" s="47" t="str">
        <f aca="false">'Master Task List'!B71</f>
        <v>Performance</v>
      </c>
      <c r="D73" s="47" t="str">
        <f aca="false">'Master Task List'!G71</f>
        <v>هند الزهراني</v>
      </c>
      <c r="E73" s="47" t="str">
        <f aca="false">'Master Task List'!I71</f>
        <v>Not Started</v>
      </c>
      <c r="F73" s="47" t="str">
        <f aca="false">'Master Task List'!F71</f>
        <v>Medium</v>
      </c>
      <c r="G73" s="47" t="str">
        <f aca="false">'Master Task List'!Q71</f>
        <v>Medium</v>
      </c>
      <c r="H73" s="48" t="n">
        <f aca="false">'Master Task List'!K71</f>
        <v>46346</v>
      </c>
      <c r="I73" s="48" t="n">
        <f aca="false">'Master Task List'!L71</f>
        <v>46365</v>
      </c>
      <c r="J73" s="47" t="n">
        <f aca="false">'Master Task List'!N71</f>
        <v>20</v>
      </c>
    </row>
    <row r="74" customFormat="false" ht="13.5" hidden="false" customHeight="true" outlineLevel="0" collapsed="false">
      <c r="A74" s="47" t="str">
        <f aca="false">'Master Task List'!A72</f>
        <v>DMT-071</v>
      </c>
      <c r="B74" s="47" t="str">
        <f aca="false">'Master Task List'!D72</f>
        <v>تحسين سرعة الاستجابة</v>
      </c>
      <c r="C74" s="47" t="str">
        <f aca="false">'Master Task List'!B72</f>
        <v>Performance</v>
      </c>
      <c r="D74" s="47" t="str">
        <f aca="false">'Master Task List'!G72</f>
        <v>هند الزهراني</v>
      </c>
      <c r="E74" s="47" t="str">
        <f aca="false">'Master Task List'!I72</f>
        <v>Not Started</v>
      </c>
      <c r="F74" s="47" t="str">
        <f aca="false">'Master Task List'!F72</f>
        <v>Medium</v>
      </c>
      <c r="G74" s="47" t="str">
        <f aca="false">'Master Task List'!Q72</f>
        <v>Medium</v>
      </c>
      <c r="H74" s="48" t="n">
        <f aca="false">'Master Task List'!K72</f>
        <v>46366</v>
      </c>
      <c r="I74" s="48" t="n">
        <f aca="false">'Master Task List'!L72</f>
        <v>46386</v>
      </c>
      <c r="J74" s="47" t="n">
        <f aca="false">'Master Task List'!N72</f>
        <v>21</v>
      </c>
    </row>
    <row r="75" customFormat="false" ht="13.5" hidden="false" customHeight="true" outlineLevel="0" collapsed="false">
      <c r="A75" s="47" t="str">
        <f aca="false">'Master Task List'!A73</f>
        <v>DMT-072</v>
      </c>
      <c r="B75" s="47" t="str">
        <f aca="false">'Master Task List'!D73</f>
        <v>تحسين استهلاك الموارد السحابية</v>
      </c>
      <c r="C75" s="47" t="str">
        <f aca="false">'Master Task List'!B73</f>
        <v>Performance</v>
      </c>
      <c r="D75" s="47" t="str">
        <f aca="false">'Master Task List'!G73</f>
        <v>هند الزهراني</v>
      </c>
      <c r="E75" s="47" t="str">
        <f aca="false">'Master Task List'!I73</f>
        <v>Not Started</v>
      </c>
      <c r="F75" s="47" t="str">
        <f aca="false">'Master Task List'!F73</f>
        <v>Medium</v>
      </c>
      <c r="G75" s="47" t="str">
        <f aca="false">'Master Task List'!Q73</f>
        <v>Medium</v>
      </c>
      <c r="H75" s="48" t="n">
        <f aca="false">'Master Task List'!K73</f>
        <v>46387</v>
      </c>
      <c r="I75" s="48" t="n">
        <f aca="false">'Master Task List'!L73</f>
        <v>46406</v>
      </c>
      <c r="J75" s="47" t="n">
        <f aca="false">'Master Task List'!N73</f>
        <v>20</v>
      </c>
    </row>
    <row r="76" customFormat="false" ht="13.5" hidden="false" customHeight="true" outlineLevel="0" collapsed="false">
      <c r="A76" s="47" t="str">
        <f aca="false">'Master Task List'!A74</f>
        <v>DMT-073</v>
      </c>
      <c r="B76" s="47" t="str">
        <f aca="false">'Master Task List'!D74</f>
        <v>إعداد بيئة الإنتاج النهائية</v>
      </c>
      <c r="C76" s="47" t="str">
        <f aca="false">'Master Task List'!B74</f>
        <v>Deployment</v>
      </c>
      <c r="D76" s="47" t="str">
        <f aca="false">'Master Task List'!G74</f>
        <v>تركي السبيعي</v>
      </c>
      <c r="E76" s="47" t="str">
        <f aca="false">'Master Task List'!I74</f>
        <v>Not Started</v>
      </c>
      <c r="F76" s="47" t="str">
        <f aca="false">'Master Task List'!F74</f>
        <v>High</v>
      </c>
      <c r="G76" s="47" t="str">
        <f aca="false">'Master Task List'!Q74</f>
        <v>High</v>
      </c>
      <c r="H76" s="48" t="n">
        <f aca="false">'Master Task List'!K74</f>
        <v>46377</v>
      </c>
      <c r="I76" s="48" t="n">
        <f aca="false">'Master Task List'!L74</f>
        <v>46391</v>
      </c>
      <c r="J76" s="47" t="n">
        <f aca="false">'Master Task List'!N74</f>
        <v>15</v>
      </c>
    </row>
    <row r="77" customFormat="false" ht="13.5" hidden="false" customHeight="true" outlineLevel="0" collapsed="false">
      <c r="A77" s="47" t="str">
        <f aca="false">'Master Task List'!A75</f>
        <v>DMT-074</v>
      </c>
      <c r="B77" s="47" t="str">
        <f aca="false">'Master Task List'!D75</f>
        <v>تنفيذ خطة النشر التدريجي</v>
      </c>
      <c r="C77" s="47" t="str">
        <f aca="false">'Master Task List'!B75</f>
        <v>Deployment</v>
      </c>
      <c r="D77" s="47" t="str">
        <f aca="false">'Master Task List'!G75</f>
        <v>تركي السبيعي</v>
      </c>
      <c r="E77" s="47" t="str">
        <f aca="false">'Master Task List'!I75</f>
        <v>Not Started</v>
      </c>
      <c r="F77" s="47" t="str">
        <f aca="false">'Master Task List'!F75</f>
        <v>High</v>
      </c>
      <c r="G77" s="47" t="str">
        <f aca="false">'Master Task List'!Q75</f>
        <v>High</v>
      </c>
      <c r="H77" s="48" t="n">
        <f aca="false">'Master Task List'!K75</f>
        <v>46392</v>
      </c>
      <c r="I77" s="48" t="n">
        <f aca="false">'Master Task List'!L75</f>
        <v>46406</v>
      </c>
      <c r="J77" s="47" t="n">
        <f aca="false">'Master Task List'!N75</f>
        <v>15</v>
      </c>
    </row>
    <row r="78" customFormat="false" ht="13.5" hidden="false" customHeight="true" outlineLevel="0" collapsed="false">
      <c r="A78" s="47" t="str">
        <f aca="false">'Master Task List'!A76</f>
        <v>DMT-075</v>
      </c>
      <c r="B78" s="47" t="str">
        <f aca="false">'Master Task List'!D76</f>
        <v>خطة التراجع والاستعادة</v>
      </c>
      <c r="C78" s="47" t="str">
        <f aca="false">'Master Task List'!B76</f>
        <v>Deployment</v>
      </c>
      <c r="D78" s="47" t="str">
        <f aca="false">'Master Task List'!G76</f>
        <v>تركي السبيعي</v>
      </c>
      <c r="E78" s="47" t="str">
        <f aca="false">'Master Task List'!I76</f>
        <v>Not Started</v>
      </c>
      <c r="F78" s="47" t="str">
        <f aca="false">'Master Task List'!F76</f>
        <v>High</v>
      </c>
      <c r="G78" s="47" t="str">
        <f aca="false">'Master Task List'!Q76</f>
        <v>High</v>
      </c>
      <c r="H78" s="48" t="n">
        <f aca="false">'Master Task List'!K76</f>
        <v>46407</v>
      </c>
      <c r="I78" s="48" t="n">
        <f aca="false">'Master Task List'!L76</f>
        <v>46421</v>
      </c>
      <c r="J78" s="47" t="n">
        <f aca="false">'Master Task List'!N76</f>
        <v>15</v>
      </c>
    </row>
    <row r="79" customFormat="false" ht="13.5" hidden="false" customHeight="true" outlineLevel="0" collapsed="false">
      <c r="A79" s="47" t="str">
        <f aca="false">'Master Task List'!A77</f>
        <v>DMT-076</v>
      </c>
      <c r="B79" s="47" t="str">
        <f aca="false">'Master Task List'!D77</f>
        <v>توثيق أدلة المستخدم</v>
      </c>
      <c r="C79" s="47" t="str">
        <f aca="false">'Master Task List'!B77</f>
        <v>Documentation</v>
      </c>
      <c r="D79" s="47" t="str">
        <f aca="false">'Master Task List'!G77</f>
        <v>سارة العتيبي</v>
      </c>
      <c r="E79" s="47" t="str">
        <f aca="false">'Master Task List'!I77</f>
        <v>Not Started</v>
      </c>
      <c r="F79" s="47" t="str">
        <f aca="false">'Master Task List'!F77</f>
        <v>Low</v>
      </c>
      <c r="G79" s="47" t="str">
        <f aca="false">'Master Task List'!Q77</f>
        <v>Low</v>
      </c>
      <c r="H79" s="48" t="n">
        <f aca="false">'Master Task List'!K77</f>
        <v>46331</v>
      </c>
      <c r="I79" s="48" t="n">
        <f aca="false">'Master Task List'!L77</f>
        <v>46360</v>
      </c>
      <c r="J79" s="47" t="n">
        <f aca="false">'Master Task List'!N77</f>
        <v>30</v>
      </c>
    </row>
    <row r="80" customFormat="false" ht="13.5" hidden="false" customHeight="true" outlineLevel="0" collapsed="false">
      <c r="A80" s="47" t="str">
        <f aca="false">'Master Task List'!A78</f>
        <v>DMT-077</v>
      </c>
      <c r="B80" s="47" t="str">
        <f aca="false">'Master Task List'!D78</f>
        <v>توثيق الأنظمة التقنية</v>
      </c>
      <c r="C80" s="47" t="str">
        <f aca="false">'Master Task List'!B78</f>
        <v>Documentation</v>
      </c>
      <c r="D80" s="47" t="str">
        <f aca="false">'Master Task List'!G78</f>
        <v>سارة العتيبي</v>
      </c>
      <c r="E80" s="47" t="str">
        <f aca="false">'Master Task List'!I78</f>
        <v>Not Started</v>
      </c>
      <c r="F80" s="47" t="str">
        <f aca="false">'Master Task List'!F78</f>
        <v>Medium</v>
      </c>
      <c r="G80" s="47" t="str">
        <f aca="false">'Master Task List'!Q78</f>
        <v>Low</v>
      </c>
      <c r="H80" s="48" t="n">
        <f aca="false">'Master Task List'!K78</f>
        <v>46361</v>
      </c>
      <c r="I80" s="48" t="n">
        <f aca="false">'Master Task List'!L78</f>
        <v>46391</v>
      </c>
      <c r="J80" s="47" t="n">
        <f aca="false">'Master Task List'!N78</f>
        <v>31</v>
      </c>
    </row>
    <row r="81" customFormat="false" ht="13.5" hidden="false" customHeight="true" outlineLevel="0" collapsed="false">
      <c r="A81" s="47" t="str">
        <f aca="false">'Master Task List'!A79</f>
        <v>DMT-078</v>
      </c>
      <c r="B81" s="47" t="str">
        <f aca="false">'Master Task List'!D79</f>
        <v>توثيق السياسات والإجراءات</v>
      </c>
      <c r="C81" s="47" t="str">
        <f aca="false">'Master Task List'!B79</f>
        <v>Documentation</v>
      </c>
      <c r="D81" s="47" t="str">
        <f aca="false">'Master Task List'!G79</f>
        <v>سارة العتيبي</v>
      </c>
      <c r="E81" s="47" t="str">
        <f aca="false">'Master Task List'!I79</f>
        <v>Not Started</v>
      </c>
      <c r="F81" s="47" t="str">
        <f aca="false">'Master Task List'!F79</f>
        <v>Medium</v>
      </c>
      <c r="G81" s="47" t="str">
        <f aca="false">'Master Task List'!Q79</f>
        <v>Low</v>
      </c>
      <c r="H81" s="48" t="n">
        <f aca="false">'Master Task List'!K79</f>
        <v>46392</v>
      </c>
      <c r="I81" s="48" t="n">
        <f aca="false">'Master Task List'!L79</f>
        <v>46421</v>
      </c>
      <c r="J81" s="47" t="n">
        <f aca="false">'Master Task List'!N79</f>
        <v>30</v>
      </c>
    </row>
    <row r="82" customFormat="false" ht="13.5" hidden="false" customHeight="true" outlineLevel="0" collapsed="false">
      <c r="A82" s="47" t="str">
        <f aca="false">'Master Task List'!A80</f>
        <v>DMT-079</v>
      </c>
      <c r="B82" s="47" t="str">
        <f aca="false">'Master Task List'!D80</f>
        <v>تسجيل العلامة التجارية</v>
      </c>
      <c r="C82" s="47" t="str">
        <f aca="false">'Master Task List'!B80</f>
        <v>Intellectual Property</v>
      </c>
      <c r="D82" s="47" t="str">
        <f aca="false">'Master Task List'!G80</f>
        <v>ياسر الأحمدي</v>
      </c>
      <c r="E82" s="47" t="str">
        <f aca="false">'Master Task List'!I80</f>
        <v>Not Started</v>
      </c>
      <c r="F82" s="47" t="str">
        <f aca="false">'Master Task List'!F80</f>
        <v>Medium</v>
      </c>
      <c r="G82" s="47" t="str">
        <f aca="false">'Master Task List'!Q80</f>
        <v>Medium</v>
      </c>
      <c r="H82" s="48" t="n">
        <f aca="false">'Master Task List'!K80</f>
        <v>46301</v>
      </c>
      <c r="I82" s="48" t="n">
        <f aca="false">'Master Task List'!L80</f>
        <v>46330</v>
      </c>
      <c r="J82" s="47" t="n">
        <f aca="false">'Master Task List'!N80</f>
        <v>30</v>
      </c>
    </row>
    <row r="83" customFormat="false" ht="13.5" hidden="false" customHeight="true" outlineLevel="0" collapsed="false">
      <c r="A83" s="47" t="str">
        <f aca="false">'Master Task List'!A81</f>
        <v>DMT-080</v>
      </c>
      <c r="B83" s="47" t="str">
        <f aca="false">'Master Task List'!D81</f>
        <v>حماية حقوق الملكية الفكرية للبرمجيات</v>
      </c>
      <c r="C83" s="47" t="str">
        <f aca="false">'Master Task List'!B81</f>
        <v>Intellectual Property</v>
      </c>
      <c r="D83" s="47" t="str">
        <f aca="false">'Master Task List'!G81</f>
        <v>ياسر الأحمدي</v>
      </c>
      <c r="E83" s="47" t="str">
        <f aca="false">'Master Task List'!I81</f>
        <v>Not Started</v>
      </c>
      <c r="F83" s="47" t="str">
        <f aca="false">'Master Task List'!F81</f>
        <v>Medium</v>
      </c>
      <c r="G83" s="47" t="str">
        <f aca="false">'Master Task List'!Q81</f>
        <v>Medium</v>
      </c>
      <c r="H83" s="48" t="n">
        <f aca="false">'Master Task List'!K81</f>
        <v>46331</v>
      </c>
      <c r="I83" s="48" t="n">
        <f aca="false">'Master Task List'!L81</f>
        <v>46361</v>
      </c>
      <c r="J83" s="47" t="n">
        <f aca="false">'Master Task List'!N81</f>
        <v>31</v>
      </c>
    </row>
    <row r="84" customFormat="false" ht="13.5" hidden="false" customHeight="true" outlineLevel="0" collapsed="false">
      <c r="A84" s="47" t="str">
        <f aca="false">'Master Task List'!A82</f>
        <v>DMT-081</v>
      </c>
      <c r="B84" s="47" t="str">
        <f aca="false">'Master Task List'!D82</f>
        <v>تسجيل براءة اختراع لنظام التحقق</v>
      </c>
      <c r="C84" s="47" t="str">
        <f aca="false">'Master Task List'!B82</f>
        <v>Intellectual Property</v>
      </c>
      <c r="D84" s="47" t="str">
        <f aca="false">'Master Task List'!G82</f>
        <v>ياسر الأحمدي</v>
      </c>
      <c r="E84" s="47" t="str">
        <f aca="false">'Master Task List'!I82</f>
        <v>Cancelled</v>
      </c>
      <c r="F84" s="47" t="str">
        <f aca="false">'Master Task List'!F82</f>
        <v>Medium</v>
      </c>
      <c r="G84" s="47" t="str">
        <f aca="false">'Master Task List'!Q82</f>
        <v>Low</v>
      </c>
      <c r="H84" s="48" t="n">
        <f aca="false">'Master Task List'!K82</f>
        <v>46362</v>
      </c>
      <c r="I84" s="48" t="n">
        <f aca="false">'Master Task List'!L82</f>
        <v>46391</v>
      </c>
      <c r="J84" s="47" t="n">
        <f aca="false">'Master Task List'!N82</f>
        <v>30</v>
      </c>
    </row>
    <row r="85" customFormat="false" ht="13.5" hidden="false" customHeight="true" outlineLevel="0" collapsed="false">
      <c r="A85" s="47" t="str">
        <f aca="false">'Master Task List'!A83</f>
        <v>DMT-082</v>
      </c>
      <c r="B85" s="47" t="str">
        <f aca="false">'Master Task List'!D83</f>
        <v>مراجعة الامتثال لأنظمة حماية البيانات</v>
      </c>
      <c r="C85" s="47" t="str">
        <f aca="false">'Master Task List'!B83</f>
        <v>Legal Compliance</v>
      </c>
      <c r="D85" s="47" t="str">
        <f aca="false">'Master Task List'!G83</f>
        <v>ياسر الأحمدي</v>
      </c>
      <c r="E85" s="47" t="str">
        <f aca="false">'Master Task List'!I83</f>
        <v>Not Started</v>
      </c>
      <c r="F85" s="47" t="str">
        <f aca="false">'Master Task List'!F83</f>
        <v>High</v>
      </c>
      <c r="G85" s="47" t="str">
        <f aca="false">'Master Task List'!Q83</f>
        <v>High</v>
      </c>
      <c r="H85" s="48" t="n">
        <f aca="false">'Master Task List'!K83</f>
        <v>46270</v>
      </c>
      <c r="I85" s="48" t="n">
        <f aca="false">'Master Task List'!L83</f>
        <v>46310</v>
      </c>
      <c r="J85" s="47" t="n">
        <f aca="false">'Master Task List'!N83</f>
        <v>41</v>
      </c>
    </row>
    <row r="86" customFormat="false" ht="13.5" hidden="false" customHeight="true" outlineLevel="0" collapsed="false">
      <c r="A86" s="47" t="str">
        <f aca="false">'Master Task List'!A84</f>
        <v>DMT-083</v>
      </c>
      <c r="B86" s="47" t="str">
        <f aca="false">'Master Task List'!D84</f>
        <v>إعداد الشروط والأحكام</v>
      </c>
      <c r="C86" s="47" t="str">
        <f aca="false">'Master Task List'!B84</f>
        <v>Legal Compliance</v>
      </c>
      <c r="D86" s="47" t="str">
        <f aca="false">'Master Task List'!G84</f>
        <v>ياسر الأحمدي</v>
      </c>
      <c r="E86" s="47" t="str">
        <f aca="false">'Master Task List'!I84</f>
        <v>Not Started</v>
      </c>
      <c r="F86" s="47" t="str">
        <f aca="false">'Master Task List'!F84</f>
        <v>High</v>
      </c>
      <c r="G86" s="47" t="str">
        <f aca="false">'Master Task List'!Q84</f>
        <v>High</v>
      </c>
      <c r="H86" s="48" t="n">
        <f aca="false">'Master Task List'!K84</f>
        <v>46311</v>
      </c>
      <c r="I86" s="48" t="n">
        <f aca="false">'Master Task List'!L84</f>
        <v>46350</v>
      </c>
      <c r="J86" s="47" t="n">
        <f aca="false">'Master Task List'!N84</f>
        <v>40</v>
      </c>
    </row>
    <row r="87" customFormat="false" ht="13.5" hidden="false" customHeight="true" outlineLevel="0" collapsed="false">
      <c r="A87" s="47" t="str">
        <f aca="false">'Master Task List'!A85</f>
        <v>DMT-084</v>
      </c>
      <c r="B87" s="47" t="str">
        <f aca="false">'Master Task List'!D85</f>
        <v>مراجعة الامتثال لأنظمة التجارة الإلكترونية</v>
      </c>
      <c r="C87" s="47" t="str">
        <f aca="false">'Master Task List'!B85</f>
        <v>Legal Compliance</v>
      </c>
      <c r="D87" s="47" t="str">
        <f aca="false">'Master Task List'!G85</f>
        <v>ياسر الأحمدي</v>
      </c>
      <c r="E87" s="47" t="str">
        <f aca="false">'Master Task List'!I85</f>
        <v>Not Started</v>
      </c>
      <c r="F87" s="47" t="str">
        <f aca="false">'Master Task List'!F85</f>
        <v>High</v>
      </c>
      <c r="G87" s="47" t="str">
        <f aca="false">'Master Task List'!Q85</f>
        <v>High</v>
      </c>
      <c r="H87" s="48" t="n">
        <f aca="false">'Master Task List'!K85</f>
        <v>46351</v>
      </c>
      <c r="I87" s="48" t="n">
        <f aca="false">'Master Task List'!L85</f>
        <v>46391</v>
      </c>
      <c r="J87" s="47" t="n">
        <f aca="false">'Master Task List'!N85</f>
        <v>41</v>
      </c>
    </row>
    <row r="88" customFormat="false" ht="13.5" hidden="false" customHeight="true" outlineLevel="0" collapsed="false">
      <c r="A88" s="47" t="str">
        <f aca="false">'Master Task List'!A86</f>
        <v>DMT-085</v>
      </c>
      <c r="B88" s="47" t="str">
        <f aca="false">'Master Task List'!D86</f>
        <v>إعداد خطة الإطلاق التسويقي</v>
      </c>
      <c r="C88" s="47" t="str">
        <f aca="false">'Master Task List'!B86</f>
        <v>Launch Preparation</v>
      </c>
      <c r="D88" s="47" t="str">
        <f aca="false">'Master Task List'!G86</f>
        <v>جواهر العصيمي</v>
      </c>
      <c r="E88" s="47" t="str">
        <f aca="false">'Master Task List'!I86</f>
        <v>Not Started</v>
      </c>
      <c r="F88" s="47" t="str">
        <f aca="false">'Master Task List'!F86</f>
        <v>High</v>
      </c>
      <c r="G88" s="47" t="str">
        <f aca="false">'Master Task List'!Q86</f>
        <v>High</v>
      </c>
      <c r="H88" s="48" t="n">
        <f aca="false">'Master Task List'!K86</f>
        <v>46407</v>
      </c>
      <c r="I88" s="48" t="n">
        <f aca="false">'Master Task List'!L86</f>
        <v>46421</v>
      </c>
      <c r="J88" s="47" t="n">
        <f aca="false">'Master Task List'!N86</f>
        <v>15</v>
      </c>
    </row>
    <row r="89" customFormat="false" ht="13.5" hidden="false" customHeight="true" outlineLevel="0" collapsed="false">
      <c r="A89" s="47" t="str">
        <f aca="false">'Master Task List'!A87</f>
        <v>DMT-086</v>
      </c>
      <c r="B89" s="47" t="str">
        <f aca="false">'Master Task List'!D87</f>
        <v>تدريب فريق الدعم الفني</v>
      </c>
      <c r="C89" s="47" t="str">
        <f aca="false">'Master Task List'!B87</f>
        <v>Launch Preparation</v>
      </c>
      <c r="D89" s="47" t="str">
        <f aca="false">'Master Task List'!G87</f>
        <v>جواهر العصيمي</v>
      </c>
      <c r="E89" s="47" t="str">
        <f aca="false">'Master Task List'!I87</f>
        <v>Not Started</v>
      </c>
      <c r="F89" s="47" t="str">
        <f aca="false">'Master Task List'!F87</f>
        <v>High</v>
      </c>
      <c r="G89" s="47" t="str">
        <f aca="false">'Master Task List'!Q87</f>
        <v>High</v>
      </c>
      <c r="H89" s="48" t="n">
        <f aca="false">'Master Task List'!K87</f>
        <v>46422</v>
      </c>
      <c r="I89" s="48" t="n">
        <f aca="false">'Master Task List'!L87</f>
        <v>46437</v>
      </c>
      <c r="J89" s="47" t="n">
        <f aca="false">'Master Task List'!N87</f>
        <v>16</v>
      </c>
    </row>
    <row r="90" customFormat="false" ht="13.5" hidden="false" customHeight="true" outlineLevel="0" collapsed="false">
      <c r="A90" s="47" t="str">
        <f aca="false">'Master Task List'!A88</f>
        <v>DMT-087</v>
      </c>
      <c r="B90" s="47" t="str">
        <f aca="false">'Master Task List'!D88</f>
        <v>إعداد قنوات الدعم والمتابعة</v>
      </c>
      <c r="C90" s="47" t="str">
        <f aca="false">'Master Task List'!B88</f>
        <v>Launch Preparation</v>
      </c>
      <c r="D90" s="47" t="str">
        <f aca="false">'Master Task List'!G88</f>
        <v>جواهر العصيمي</v>
      </c>
      <c r="E90" s="47" t="str">
        <f aca="false">'Master Task List'!I88</f>
        <v>Not Started</v>
      </c>
      <c r="F90" s="47" t="str">
        <f aca="false">'Master Task List'!F88</f>
        <v>High</v>
      </c>
      <c r="G90" s="47" t="str">
        <f aca="false">'Master Task List'!Q88</f>
        <v>High</v>
      </c>
      <c r="H90" s="48" t="n">
        <f aca="false">'Master Task List'!K88</f>
        <v>46438</v>
      </c>
      <c r="I90" s="48" t="n">
        <f aca="false">'Master Task List'!L88</f>
        <v>46452</v>
      </c>
      <c r="J90" s="47" t="n">
        <f aca="false">'Master Task List'!N88</f>
        <v>15</v>
      </c>
    </row>
    <row r="91" customFormat="false" ht="13.5" hidden="false" customHeight="true" outlineLevel="0" collapsed="false">
      <c r="A91" s="47" t="str">
        <f aca="false">'Master Task List'!A89</f>
        <v>DMT-088</v>
      </c>
      <c r="B91" s="47" t="str">
        <f aca="false">'Master Task List'!D89</f>
        <v>جمع ملاحظات المستخدمين بعد الإطلاق</v>
      </c>
      <c r="C91" s="47" t="str">
        <f aca="false">'Master Task List'!B89</f>
        <v>Post Launch Improvements</v>
      </c>
      <c r="D91" s="47" t="str">
        <f aca="false">'Master Task List'!G89</f>
        <v>جواهر العصيمي</v>
      </c>
      <c r="E91" s="47" t="str">
        <f aca="false">'Master Task List'!I89</f>
        <v>Not Started</v>
      </c>
      <c r="F91" s="47" t="str">
        <f aca="false">'Master Task List'!F89</f>
        <v>Low</v>
      </c>
      <c r="G91" s="47" t="str">
        <f aca="false">'Master Task List'!Q89</f>
        <v>Low</v>
      </c>
      <c r="H91" s="48" t="n">
        <f aca="false">'Master Task List'!K89</f>
        <v>46453</v>
      </c>
      <c r="I91" s="48" t="n">
        <f aca="false">'Master Task List'!L89</f>
        <v>46472</v>
      </c>
      <c r="J91" s="47" t="n">
        <f aca="false">'Master Task List'!N89</f>
        <v>20</v>
      </c>
    </row>
    <row r="92" customFormat="false" ht="13.5" hidden="false" customHeight="true" outlineLevel="0" collapsed="false">
      <c r="A92" s="47" t="str">
        <f aca="false">'Master Task List'!A90</f>
        <v>DMT-089</v>
      </c>
      <c r="B92" s="47" t="str">
        <f aca="false">'Master Task List'!D90</f>
        <v>إصدار تحديثات الإصلاحات</v>
      </c>
      <c r="C92" s="47" t="str">
        <f aca="false">'Master Task List'!B90</f>
        <v>Post Launch Improvements</v>
      </c>
      <c r="D92" s="47" t="str">
        <f aca="false">'Master Task List'!G90</f>
        <v>جواهر العصيمي</v>
      </c>
      <c r="E92" s="47" t="str">
        <f aca="false">'Master Task List'!I90</f>
        <v>Not Started</v>
      </c>
      <c r="F92" s="47" t="str">
        <f aca="false">'Master Task List'!F90</f>
        <v>Medium</v>
      </c>
      <c r="G92" s="47" t="str">
        <f aca="false">'Master Task List'!Q90</f>
        <v>Low</v>
      </c>
      <c r="H92" s="48" t="n">
        <f aca="false">'Master Task List'!K90</f>
        <v>46473</v>
      </c>
      <c r="I92" s="48" t="n">
        <f aca="false">'Master Task List'!L90</f>
        <v>46492</v>
      </c>
      <c r="J92" s="47" t="n">
        <f aca="false">'Master Task List'!N90</f>
        <v>20</v>
      </c>
    </row>
    <row r="93" customFormat="false" ht="13.5" hidden="false" customHeight="true" outlineLevel="0" collapsed="false">
      <c r="A93" s="47" t="str">
        <f aca="false">'Master Task List'!A91</f>
        <v>DMT-090</v>
      </c>
      <c r="B93" s="47" t="str">
        <f aca="false">'Master Task List'!D91</f>
        <v>خطة التوسع للمرحلة الثانية</v>
      </c>
      <c r="C93" s="47" t="str">
        <f aca="false">'Master Task List'!B91</f>
        <v>Post Launch Improvements</v>
      </c>
      <c r="D93" s="47" t="str">
        <f aca="false">'Master Task List'!G91</f>
        <v>جواهر العصيمي</v>
      </c>
      <c r="E93" s="47" t="str">
        <f aca="false">'Master Task List'!I91</f>
        <v>Not Started</v>
      </c>
      <c r="F93" s="47" t="str">
        <f aca="false">'Master Task List'!F91</f>
        <v>Medium</v>
      </c>
      <c r="G93" s="47" t="str">
        <f aca="false">'Master Task List'!Q91</f>
        <v>Low</v>
      </c>
      <c r="H93" s="48" t="n">
        <f aca="false">'Master Task List'!K91</f>
        <v>46493</v>
      </c>
      <c r="I93" s="48" t="n">
        <f aca="false">'Master Task List'!L91</f>
        <v>46512</v>
      </c>
      <c r="J93" s="47" t="n">
        <f aca="false">'Master Task List'!N91</f>
        <v>20</v>
      </c>
    </row>
    <row r="95" customFormat="false" ht="19.5" hidden="false" customHeight="true" outlineLevel="0" collapsed="false">
      <c r="A95" s="42" t="s">
        <v>482</v>
      </c>
      <c r="B95" s="42"/>
      <c r="C95" s="42"/>
      <c r="D95" s="42"/>
      <c r="E95" s="42"/>
      <c r="F95" s="42"/>
      <c r="G95" s="42"/>
      <c r="H95" s="42"/>
      <c r="I95" s="42"/>
      <c r="J95" s="42"/>
    </row>
    <row r="96" customFormat="false" ht="18" hidden="false" customHeight="true" outlineLevel="0" collapsed="false">
      <c r="A96" s="36" t="s">
        <v>483</v>
      </c>
      <c r="B96" s="36" t="s">
        <v>484</v>
      </c>
      <c r="C96" s="36"/>
      <c r="D96" s="36"/>
      <c r="E96" s="36"/>
      <c r="F96" s="36" t="s">
        <v>65</v>
      </c>
      <c r="G96" s="36"/>
      <c r="H96" s="36" t="s">
        <v>485</v>
      </c>
      <c r="I96" s="36"/>
      <c r="J96" s="3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</row>
    <row r="97" customFormat="false" ht="15" hidden="false" customHeight="false" outlineLevel="0" collapsed="false">
      <c r="A97" s="47" t="s">
        <v>486</v>
      </c>
      <c r="B97" s="47" t="str">
        <f aca="false">Milestones!A2</f>
        <v>انطلاقة المشروع رسميًا</v>
      </c>
      <c r="C97" s="47"/>
      <c r="D97" s="47"/>
      <c r="E97" s="47"/>
      <c r="F97" s="47" t="str">
        <f aca="false">Milestones!H2</f>
        <v>Critical</v>
      </c>
      <c r="G97" s="47"/>
      <c r="H97" s="48" t="n">
        <f aca="false">Milestones!C2</f>
        <v>46042</v>
      </c>
      <c r="I97" s="47"/>
      <c r="J97" s="47"/>
      <c r="K97" s="49" t="str">
        <f aca="false">IF(AND(K$2&lt;=$H97,(K$2+6)&gt;=$H97),"◆","")</f>
        <v/>
      </c>
      <c r="L97" s="49" t="str">
        <f aca="false">IF(AND(L$2&lt;=$H97,(L$2+6)&gt;=$H97),"◆","")</f>
        <v/>
      </c>
      <c r="M97" s="49" t="str">
        <f aca="false">IF(AND(M$2&lt;=$H97,(M$2+6)&gt;=$H97),"◆","")</f>
        <v>◆</v>
      </c>
      <c r="N97" s="49" t="str">
        <f aca="false">IF(AND(N$2&lt;=$H97,(N$2+6)&gt;=$H97),"◆","")</f>
        <v/>
      </c>
      <c r="O97" s="49" t="str">
        <f aca="false">IF(AND(O$2&lt;=$H97,(O$2+6)&gt;=$H97),"◆","")</f>
        <v/>
      </c>
      <c r="P97" s="49" t="str">
        <f aca="false">IF(AND(P$2&lt;=$H97,(P$2+6)&gt;=$H97),"◆","")</f>
        <v/>
      </c>
      <c r="Q97" s="49" t="str">
        <f aca="false">IF(AND(Q$2&lt;=$H97,(Q$2+6)&gt;=$H97),"◆","")</f>
        <v/>
      </c>
      <c r="R97" s="49" t="str">
        <f aca="false">IF(AND(R$2&lt;=$H97,(R$2+6)&gt;=$H97),"◆","")</f>
        <v/>
      </c>
      <c r="S97" s="49" t="str">
        <f aca="false">IF(AND(S$2&lt;=$H97,(S$2+6)&gt;=$H97),"◆","")</f>
        <v/>
      </c>
      <c r="T97" s="49" t="str">
        <f aca="false">IF(AND(T$2&lt;=$H97,(T$2+6)&gt;=$H97),"◆","")</f>
        <v/>
      </c>
      <c r="U97" s="49" t="str">
        <f aca="false">IF(AND(U$2&lt;=$H97,(U$2+6)&gt;=$H97),"◆","")</f>
        <v/>
      </c>
      <c r="V97" s="49" t="str">
        <f aca="false">IF(AND(V$2&lt;=$H97,(V$2+6)&gt;=$H97),"◆","")</f>
        <v/>
      </c>
      <c r="W97" s="49" t="str">
        <f aca="false">IF(AND(W$2&lt;=$H97,(W$2+6)&gt;=$H97),"◆","")</f>
        <v/>
      </c>
      <c r="X97" s="49" t="str">
        <f aca="false">IF(AND(X$2&lt;=$H97,(X$2+6)&gt;=$H97),"◆","")</f>
        <v/>
      </c>
      <c r="Y97" s="49" t="str">
        <f aca="false">IF(AND(Y$2&lt;=$H97,(Y$2+6)&gt;=$H97),"◆","")</f>
        <v/>
      </c>
      <c r="Z97" s="49" t="str">
        <f aca="false">IF(AND(Z$2&lt;=$H97,(Z$2+6)&gt;=$H97),"◆","")</f>
        <v/>
      </c>
      <c r="AA97" s="49" t="str">
        <f aca="false">IF(AND(AA$2&lt;=$H97,(AA$2+6)&gt;=$H97),"◆","")</f>
        <v/>
      </c>
      <c r="AB97" s="49" t="str">
        <f aca="false">IF(AND(AB$2&lt;=$H97,(AB$2+6)&gt;=$H97),"◆","")</f>
        <v/>
      </c>
      <c r="AC97" s="49" t="str">
        <f aca="false">IF(AND(AC$2&lt;=$H97,(AC$2+6)&gt;=$H97),"◆","")</f>
        <v/>
      </c>
      <c r="AD97" s="49" t="str">
        <f aca="false">IF(AND(AD$2&lt;=$H97,(AD$2+6)&gt;=$H97),"◆","")</f>
        <v/>
      </c>
      <c r="AE97" s="49" t="str">
        <f aca="false">IF(AND(AE$2&lt;=$H97,(AE$2+6)&gt;=$H97),"◆","")</f>
        <v/>
      </c>
      <c r="AF97" s="49" t="str">
        <f aca="false">IF(AND(AF$2&lt;=$H97,(AF$2+6)&gt;=$H97),"◆","")</f>
        <v/>
      </c>
      <c r="AG97" s="49" t="str">
        <f aca="false">IF(AND(AG$2&lt;=$H97,(AG$2+6)&gt;=$H97),"◆","")</f>
        <v/>
      </c>
      <c r="AH97" s="49" t="str">
        <f aca="false">IF(AND(AH$2&lt;=$H97,(AH$2+6)&gt;=$H97),"◆","")</f>
        <v/>
      </c>
      <c r="AI97" s="49" t="str">
        <f aca="false">IF(AND(AI$2&lt;=$H97,(AI$2+6)&gt;=$H97),"◆","")</f>
        <v/>
      </c>
      <c r="AJ97" s="49" t="str">
        <f aca="false">IF(AND(AJ$2&lt;=$H97,(AJ$2+6)&gt;=$H97),"◆","")</f>
        <v/>
      </c>
      <c r="AK97" s="49" t="str">
        <f aca="false">IF(AND(AK$2&lt;=$H97,(AK$2+6)&gt;=$H97),"◆","")</f>
        <v/>
      </c>
      <c r="AL97" s="49" t="str">
        <f aca="false">IF(AND(AL$2&lt;=$H97,(AL$2+6)&gt;=$H97),"◆","")</f>
        <v/>
      </c>
      <c r="AM97" s="49" t="str">
        <f aca="false">IF(AND(AM$2&lt;=$H97,(AM$2+6)&gt;=$H97),"◆","")</f>
        <v/>
      </c>
      <c r="AN97" s="49" t="str">
        <f aca="false">IF(AND(AN$2&lt;=$H97,(AN$2+6)&gt;=$H97),"◆","")</f>
        <v/>
      </c>
      <c r="AO97" s="49" t="str">
        <f aca="false">IF(AND(AO$2&lt;=$H97,(AO$2+6)&gt;=$H97),"◆","")</f>
        <v/>
      </c>
      <c r="AP97" s="49" t="str">
        <f aca="false">IF(AND(AP$2&lt;=$H97,(AP$2+6)&gt;=$H97),"◆","")</f>
        <v/>
      </c>
      <c r="AQ97" s="49" t="str">
        <f aca="false">IF(AND(AQ$2&lt;=$H97,(AQ$2+6)&gt;=$H97),"◆","")</f>
        <v/>
      </c>
      <c r="AR97" s="49" t="str">
        <f aca="false">IF(AND(AR$2&lt;=$H97,(AR$2+6)&gt;=$H97),"◆","")</f>
        <v/>
      </c>
      <c r="AS97" s="49" t="str">
        <f aca="false">IF(AND(AS$2&lt;=$H97,(AS$2+6)&gt;=$H97),"◆","")</f>
        <v/>
      </c>
      <c r="AT97" s="49" t="str">
        <f aca="false">IF(AND(AT$2&lt;=$H97,(AT$2+6)&gt;=$H97),"◆","")</f>
        <v/>
      </c>
      <c r="AU97" s="49" t="str">
        <f aca="false">IF(AND(AU$2&lt;=$H97,(AU$2+6)&gt;=$H97),"◆","")</f>
        <v/>
      </c>
      <c r="AV97" s="49" t="str">
        <f aca="false">IF(AND(AV$2&lt;=$H97,(AV$2+6)&gt;=$H97),"◆","")</f>
        <v/>
      </c>
      <c r="AW97" s="49" t="str">
        <f aca="false">IF(AND(AW$2&lt;=$H97,(AW$2+6)&gt;=$H97),"◆","")</f>
        <v/>
      </c>
      <c r="AX97" s="49" t="str">
        <f aca="false">IF(AND(AX$2&lt;=$H97,(AX$2+6)&gt;=$H97),"◆","")</f>
        <v/>
      </c>
      <c r="AY97" s="49" t="str">
        <f aca="false">IF(AND(AY$2&lt;=$H97,(AY$2+6)&gt;=$H97),"◆","")</f>
        <v/>
      </c>
      <c r="AZ97" s="49" t="str">
        <f aca="false">IF(AND(AZ$2&lt;=$H97,(AZ$2+6)&gt;=$H97),"◆","")</f>
        <v/>
      </c>
      <c r="BA97" s="49" t="str">
        <f aca="false">IF(AND(BA$2&lt;=$H97,(BA$2+6)&gt;=$H97),"◆","")</f>
        <v/>
      </c>
      <c r="BB97" s="49" t="str">
        <f aca="false">IF(AND(BB$2&lt;=$H97,(BB$2+6)&gt;=$H97),"◆","")</f>
        <v/>
      </c>
      <c r="BC97" s="49" t="str">
        <f aca="false">IF(AND(BC$2&lt;=$H97,(BC$2+6)&gt;=$H97),"◆","")</f>
        <v/>
      </c>
      <c r="BD97" s="49" t="str">
        <f aca="false">IF(AND(BD$2&lt;=$H97,(BD$2+6)&gt;=$H97),"◆","")</f>
        <v/>
      </c>
      <c r="BE97" s="49" t="str">
        <f aca="false">IF(AND(BE$2&lt;=$H97,(BE$2+6)&gt;=$H97),"◆","")</f>
        <v/>
      </c>
      <c r="BF97" s="49" t="str">
        <f aca="false">IF(AND(BF$2&lt;=$H97,(BF$2+6)&gt;=$H97),"◆","")</f>
        <v/>
      </c>
      <c r="BG97" s="49" t="str">
        <f aca="false">IF(AND(BG$2&lt;=$H97,(BG$2+6)&gt;=$H97),"◆","")</f>
        <v/>
      </c>
      <c r="BH97" s="49" t="str">
        <f aca="false">IF(AND(BH$2&lt;=$H97,(BH$2+6)&gt;=$H97),"◆","")</f>
        <v/>
      </c>
      <c r="BI97" s="49" t="str">
        <f aca="false">IF(AND(BI$2&lt;=$H97,(BI$2+6)&gt;=$H97),"◆","")</f>
        <v/>
      </c>
      <c r="BJ97" s="49" t="str">
        <f aca="false">IF(AND(BJ$2&lt;=$H97,(BJ$2+6)&gt;=$H97),"◆","")</f>
        <v/>
      </c>
      <c r="BK97" s="49" t="str">
        <f aca="false">IF(AND(BK$2&lt;=$H97,(BK$2+6)&gt;=$H97),"◆","")</f>
        <v/>
      </c>
      <c r="BL97" s="49" t="str">
        <f aca="false">IF(AND(BL$2&lt;=$H97,(BL$2+6)&gt;=$H97),"◆","")</f>
        <v/>
      </c>
      <c r="BM97" s="49" t="str">
        <f aca="false">IF(AND(BM$2&lt;=$H97,(BM$2+6)&gt;=$H97),"◆","")</f>
        <v/>
      </c>
      <c r="BN97" s="49" t="str">
        <f aca="false">IF(AND(BN$2&lt;=$H97,(BN$2+6)&gt;=$H97),"◆","")</f>
        <v/>
      </c>
      <c r="BO97" s="49" t="str">
        <f aca="false">IF(AND(BO$2&lt;=$H97,(BO$2+6)&gt;=$H97),"◆","")</f>
        <v/>
      </c>
      <c r="BP97" s="49" t="str">
        <f aca="false">IF(AND(BP$2&lt;=$H97,(BP$2+6)&gt;=$H97),"◆","")</f>
        <v/>
      </c>
      <c r="BQ97" s="49" t="str">
        <f aca="false">IF(AND(BQ$2&lt;=$H97,(BQ$2+6)&gt;=$H97),"◆","")</f>
        <v/>
      </c>
      <c r="BR97" s="49" t="str">
        <f aca="false">IF(AND(BR$2&lt;=$H97,(BR$2+6)&gt;=$H97),"◆","")</f>
        <v/>
      </c>
      <c r="BS97" s="49" t="str">
        <f aca="false">IF(AND(BS$2&lt;=$H97,(BS$2+6)&gt;=$H97),"◆","")</f>
        <v/>
      </c>
      <c r="BT97" s="49" t="str">
        <f aca="false">IF(AND(BT$2&lt;=$H97,(BT$2+6)&gt;=$H97),"◆","")</f>
        <v/>
      </c>
      <c r="BU97" s="49" t="str">
        <f aca="false">IF(AND(BU$2&lt;=$H97,(BU$2+6)&gt;=$H97),"◆","")</f>
        <v/>
      </c>
      <c r="BV97" s="49" t="str">
        <f aca="false">IF(AND(BV$2&lt;=$H97,(BV$2+6)&gt;=$H97),"◆","")</f>
        <v/>
      </c>
      <c r="BW97" s="49" t="str">
        <f aca="false">IF(AND(BW$2&lt;=$H97,(BW$2+6)&gt;=$H97),"◆","")</f>
        <v/>
      </c>
      <c r="BX97" s="49" t="str">
        <f aca="false">IF(AND(BX$2&lt;=$H97,(BX$2+6)&gt;=$H97),"◆","")</f>
        <v/>
      </c>
      <c r="BY97" s="49" t="str">
        <f aca="false">IF(AND(BY$2&lt;=$H97,(BY$2+6)&gt;=$H97),"◆","")</f>
        <v/>
      </c>
      <c r="BZ97" s="49" t="str">
        <f aca="false">IF(AND(BZ$2&lt;=$H97,(BZ$2+6)&gt;=$H97),"◆","")</f>
        <v/>
      </c>
      <c r="CA97" s="49" t="str">
        <f aca="false">IF(AND(CA$2&lt;=$H97,(CA$2+6)&gt;=$H97),"◆","")</f>
        <v/>
      </c>
      <c r="CB97" s="49" t="str">
        <f aca="false">IF(AND(CB$2&lt;=$H97,(CB$2+6)&gt;=$H97),"◆","")</f>
        <v/>
      </c>
    </row>
    <row r="98" customFormat="false" ht="15" hidden="false" customHeight="false" outlineLevel="0" collapsed="false">
      <c r="A98" s="47" t="s">
        <v>487</v>
      </c>
      <c r="B98" s="47" t="str">
        <f aca="false">Milestones!A3</f>
        <v>اعتماد التصميم النهائي (UI/UX)</v>
      </c>
      <c r="C98" s="47"/>
      <c r="D98" s="47"/>
      <c r="E98" s="47"/>
      <c r="F98" s="47" t="str">
        <f aca="false">Milestones!H3</f>
        <v>High</v>
      </c>
      <c r="G98" s="47"/>
      <c r="H98" s="48" t="n">
        <f aca="false">Milestones!C3</f>
        <v>46106</v>
      </c>
      <c r="I98" s="47"/>
      <c r="J98" s="47"/>
      <c r="K98" s="49" t="str">
        <f aca="false">IF(AND(K$2&lt;=$H98,(K$2+6)&gt;=$H98),"◆","")</f>
        <v/>
      </c>
      <c r="L98" s="49" t="str">
        <f aca="false">IF(AND(L$2&lt;=$H98,(L$2+6)&gt;=$H98),"◆","")</f>
        <v/>
      </c>
      <c r="M98" s="49" t="str">
        <f aca="false">IF(AND(M$2&lt;=$H98,(M$2+6)&gt;=$H98),"◆","")</f>
        <v/>
      </c>
      <c r="N98" s="49" t="str">
        <f aca="false">IF(AND(N$2&lt;=$H98,(N$2+6)&gt;=$H98),"◆","")</f>
        <v/>
      </c>
      <c r="O98" s="49" t="str">
        <f aca="false">IF(AND(O$2&lt;=$H98,(O$2+6)&gt;=$H98),"◆","")</f>
        <v/>
      </c>
      <c r="P98" s="49" t="str">
        <f aca="false">IF(AND(P$2&lt;=$H98,(P$2+6)&gt;=$H98),"◆","")</f>
        <v/>
      </c>
      <c r="Q98" s="49" t="str">
        <f aca="false">IF(AND(Q$2&lt;=$H98,(Q$2+6)&gt;=$H98),"◆","")</f>
        <v/>
      </c>
      <c r="R98" s="49" t="str">
        <f aca="false">IF(AND(R$2&lt;=$H98,(R$2+6)&gt;=$H98),"◆","")</f>
        <v/>
      </c>
      <c r="S98" s="49" t="str">
        <f aca="false">IF(AND(S$2&lt;=$H98,(S$2+6)&gt;=$H98),"◆","")</f>
        <v/>
      </c>
      <c r="T98" s="49" t="str">
        <f aca="false">IF(AND(T$2&lt;=$H98,(T$2+6)&gt;=$H98),"◆","")</f>
        <v/>
      </c>
      <c r="U98" s="49" t="str">
        <f aca="false">IF(AND(U$2&lt;=$H98,(U$2+6)&gt;=$H98),"◆","")</f>
        <v/>
      </c>
      <c r="V98" s="49" t="str">
        <f aca="false">IF(AND(V$2&lt;=$H98,(V$2+6)&gt;=$H98),"◆","")</f>
        <v>◆</v>
      </c>
      <c r="W98" s="49" t="str">
        <f aca="false">IF(AND(W$2&lt;=$H98,(W$2+6)&gt;=$H98),"◆","")</f>
        <v/>
      </c>
      <c r="X98" s="49" t="str">
        <f aca="false">IF(AND(X$2&lt;=$H98,(X$2+6)&gt;=$H98),"◆","")</f>
        <v/>
      </c>
      <c r="Y98" s="49" t="str">
        <f aca="false">IF(AND(Y$2&lt;=$H98,(Y$2+6)&gt;=$H98),"◆","")</f>
        <v/>
      </c>
      <c r="Z98" s="49" t="str">
        <f aca="false">IF(AND(Z$2&lt;=$H98,(Z$2+6)&gt;=$H98),"◆","")</f>
        <v/>
      </c>
      <c r="AA98" s="49" t="str">
        <f aca="false">IF(AND(AA$2&lt;=$H98,(AA$2+6)&gt;=$H98),"◆","")</f>
        <v/>
      </c>
      <c r="AB98" s="49" t="str">
        <f aca="false">IF(AND(AB$2&lt;=$H98,(AB$2+6)&gt;=$H98),"◆","")</f>
        <v/>
      </c>
      <c r="AC98" s="49" t="str">
        <f aca="false">IF(AND(AC$2&lt;=$H98,(AC$2+6)&gt;=$H98),"◆","")</f>
        <v/>
      </c>
      <c r="AD98" s="49" t="str">
        <f aca="false">IF(AND(AD$2&lt;=$H98,(AD$2+6)&gt;=$H98),"◆","")</f>
        <v/>
      </c>
      <c r="AE98" s="49" t="str">
        <f aca="false">IF(AND(AE$2&lt;=$H98,(AE$2+6)&gt;=$H98),"◆","")</f>
        <v/>
      </c>
      <c r="AF98" s="49" t="str">
        <f aca="false">IF(AND(AF$2&lt;=$H98,(AF$2+6)&gt;=$H98),"◆","")</f>
        <v/>
      </c>
      <c r="AG98" s="49" t="str">
        <f aca="false">IF(AND(AG$2&lt;=$H98,(AG$2+6)&gt;=$H98),"◆","")</f>
        <v/>
      </c>
      <c r="AH98" s="49" t="str">
        <f aca="false">IF(AND(AH$2&lt;=$H98,(AH$2+6)&gt;=$H98),"◆","")</f>
        <v/>
      </c>
      <c r="AI98" s="49" t="str">
        <f aca="false">IF(AND(AI$2&lt;=$H98,(AI$2+6)&gt;=$H98),"◆","")</f>
        <v/>
      </c>
      <c r="AJ98" s="49" t="str">
        <f aca="false">IF(AND(AJ$2&lt;=$H98,(AJ$2+6)&gt;=$H98),"◆","")</f>
        <v/>
      </c>
      <c r="AK98" s="49" t="str">
        <f aca="false">IF(AND(AK$2&lt;=$H98,(AK$2+6)&gt;=$H98),"◆","")</f>
        <v/>
      </c>
      <c r="AL98" s="49" t="str">
        <f aca="false">IF(AND(AL$2&lt;=$H98,(AL$2+6)&gt;=$H98),"◆","")</f>
        <v/>
      </c>
      <c r="AM98" s="49" t="str">
        <f aca="false">IF(AND(AM$2&lt;=$H98,(AM$2+6)&gt;=$H98),"◆","")</f>
        <v/>
      </c>
      <c r="AN98" s="49" t="str">
        <f aca="false">IF(AND(AN$2&lt;=$H98,(AN$2+6)&gt;=$H98),"◆","")</f>
        <v/>
      </c>
      <c r="AO98" s="49" t="str">
        <f aca="false">IF(AND(AO$2&lt;=$H98,(AO$2+6)&gt;=$H98),"◆","")</f>
        <v/>
      </c>
      <c r="AP98" s="49" t="str">
        <f aca="false">IF(AND(AP$2&lt;=$H98,(AP$2+6)&gt;=$H98),"◆","")</f>
        <v/>
      </c>
      <c r="AQ98" s="49" t="str">
        <f aca="false">IF(AND(AQ$2&lt;=$H98,(AQ$2+6)&gt;=$H98),"◆","")</f>
        <v/>
      </c>
      <c r="AR98" s="49" t="str">
        <f aca="false">IF(AND(AR$2&lt;=$H98,(AR$2+6)&gt;=$H98),"◆","")</f>
        <v/>
      </c>
      <c r="AS98" s="49" t="str">
        <f aca="false">IF(AND(AS$2&lt;=$H98,(AS$2+6)&gt;=$H98),"◆","")</f>
        <v/>
      </c>
      <c r="AT98" s="49" t="str">
        <f aca="false">IF(AND(AT$2&lt;=$H98,(AT$2+6)&gt;=$H98),"◆","")</f>
        <v/>
      </c>
      <c r="AU98" s="49" t="str">
        <f aca="false">IF(AND(AU$2&lt;=$H98,(AU$2+6)&gt;=$H98),"◆","")</f>
        <v/>
      </c>
      <c r="AV98" s="49" t="str">
        <f aca="false">IF(AND(AV$2&lt;=$H98,(AV$2+6)&gt;=$H98),"◆","")</f>
        <v/>
      </c>
      <c r="AW98" s="49" t="str">
        <f aca="false">IF(AND(AW$2&lt;=$H98,(AW$2+6)&gt;=$H98),"◆","")</f>
        <v/>
      </c>
      <c r="AX98" s="49" t="str">
        <f aca="false">IF(AND(AX$2&lt;=$H98,(AX$2+6)&gt;=$H98),"◆","")</f>
        <v/>
      </c>
      <c r="AY98" s="49" t="str">
        <f aca="false">IF(AND(AY$2&lt;=$H98,(AY$2+6)&gt;=$H98),"◆","")</f>
        <v/>
      </c>
      <c r="AZ98" s="49" t="str">
        <f aca="false">IF(AND(AZ$2&lt;=$H98,(AZ$2+6)&gt;=$H98),"◆","")</f>
        <v/>
      </c>
      <c r="BA98" s="49" t="str">
        <f aca="false">IF(AND(BA$2&lt;=$H98,(BA$2+6)&gt;=$H98),"◆","")</f>
        <v/>
      </c>
      <c r="BB98" s="49" t="str">
        <f aca="false">IF(AND(BB$2&lt;=$H98,(BB$2+6)&gt;=$H98),"◆","")</f>
        <v/>
      </c>
      <c r="BC98" s="49" t="str">
        <f aca="false">IF(AND(BC$2&lt;=$H98,(BC$2+6)&gt;=$H98),"◆","")</f>
        <v/>
      </c>
      <c r="BD98" s="49" t="str">
        <f aca="false">IF(AND(BD$2&lt;=$H98,(BD$2+6)&gt;=$H98),"◆","")</f>
        <v/>
      </c>
      <c r="BE98" s="49" t="str">
        <f aca="false">IF(AND(BE$2&lt;=$H98,(BE$2+6)&gt;=$H98),"◆","")</f>
        <v/>
      </c>
      <c r="BF98" s="49" t="str">
        <f aca="false">IF(AND(BF$2&lt;=$H98,(BF$2+6)&gt;=$H98),"◆","")</f>
        <v/>
      </c>
      <c r="BG98" s="49" t="str">
        <f aca="false">IF(AND(BG$2&lt;=$H98,(BG$2+6)&gt;=$H98),"◆","")</f>
        <v/>
      </c>
      <c r="BH98" s="49" t="str">
        <f aca="false">IF(AND(BH$2&lt;=$H98,(BH$2+6)&gt;=$H98),"◆","")</f>
        <v/>
      </c>
      <c r="BI98" s="49" t="str">
        <f aca="false">IF(AND(BI$2&lt;=$H98,(BI$2+6)&gt;=$H98),"◆","")</f>
        <v/>
      </c>
      <c r="BJ98" s="49" t="str">
        <f aca="false">IF(AND(BJ$2&lt;=$H98,(BJ$2+6)&gt;=$H98),"◆","")</f>
        <v/>
      </c>
      <c r="BK98" s="49" t="str">
        <f aca="false">IF(AND(BK$2&lt;=$H98,(BK$2+6)&gt;=$H98),"◆","")</f>
        <v/>
      </c>
      <c r="BL98" s="49" t="str">
        <f aca="false">IF(AND(BL$2&lt;=$H98,(BL$2+6)&gt;=$H98),"◆","")</f>
        <v/>
      </c>
      <c r="BM98" s="49" t="str">
        <f aca="false">IF(AND(BM$2&lt;=$H98,(BM$2+6)&gt;=$H98),"◆","")</f>
        <v/>
      </c>
      <c r="BN98" s="49" t="str">
        <f aca="false">IF(AND(BN$2&lt;=$H98,(BN$2+6)&gt;=$H98),"◆","")</f>
        <v/>
      </c>
      <c r="BO98" s="49" t="str">
        <f aca="false">IF(AND(BO$2&lt;=$H98,(BO$2+6)&gt;=$H98),"◆","")</f>
        <v/>
      </c>
      <c r="BP98" s="49" t="str">
        <f aca="false">IF(AND(BP$2&lt;=$H98,(BP$2+6)&gt;=$H98),"◆","")</f>
        <v/>
      </c>
      <c r="BQ98" s="49" t="str">
        <f aca="false">IF(AND(BQ$2&lt;=$H98,(BQ$2+6)&gt;=$H98),"◆","")</f>
        <v/>
      </c>
      <c r="BR98" s="49" t="str">
        <f aca="false">IF(AND(BR$2&lt;=$H98,(BR$2+6)&gt;=$H98),"◆","")</f>
        <v/>
      </c>
      <c r="BS98" s="49" t="str">
        <f aca="false">IF(AND(BS$2&lt;=$H98,(BS$2+6)&gt;=$H98),"◆","")</f>
        <v/>
      </c>
      <c r="BT98" s="49" t="str">
        <f aca="false">IF(AND(BT$2&lt;=$H98,(BT$2+6)&gt;=$H98),"◆","")</f>
        <v/>
      </c>
      <c r="BU98" s="49" t="str">
        <f aca="false">IF(AND(BU$2&lt;=$H98,(BU$2+6)&gt;=$H98),"◆","")</f>
        <v/>
      </c>
      <c r="BV98" s="49" t="str">
        <f aca="false">IF(AND(BV$2&lt;=$H98,(BV$2+6)&gt;=$H98),"◆","")</f>
        <v/>
      </c>
      <c r="BW98" s="49" t="str">
        <f aca="false">IF(AND(BW$2&lt;=$H98,(BW$2+6)&gt;=$H98),"◆","")</f>
        <v/>
      </c>
      <c r="BX98" s="49" t="str">
        <f aca="false">IF(AND(BX$2&lt;=$H98,(BX$2+6)&gt;=$H98),"◆","")</f>
        <v/>
      </c>
      <c r="BY98" s="49" t="str">
        <f aca="false">IF(AND(BY$2&lt;=$H98,(BY$2+6)&gt;=$H98),"◆","")</f>
        <v/>
      </c>
      <c r="BZ98" s="49" t="str">
        <f aca="false">IF(AND(BZ$2&lt;=$H98,(BZ$2+6)&gt;=$H98),"◆","")</f>
        <v/>
      </c>
      <c r="CA98" s="49" t="str">
        <f aca="false">IF(AND(CA$2&lt;=$H98,(CA$2+6)&gt;=$H98),"◆","")</f>
        <v/>
      </c>
      <c r="CB98" s="49" t="str">
        <f aca="false">IF(AND(CB$2&lt;=$H98,(CB$2+6)&gt;=$H98),"◆","")</f>
        <v/>
      </c>
    </row>
    <row r="99" customFormat="false" ht="15" hidden="false" customHeight="false" outlineLevel="0" collapsed="false">
      <c r="A99" s="47" t="s">
        <v>488</v>
      </c>
      <c r="B99" s="47" t="str">
        <f aca="false">Milestones!A4</f>
        <v>إصدار النسخة التجريبية الأولى (Alpha)</v>
      </c>
      <c r="C99" s="47"/>
      <c r="D99" s="47"/>
      <c r="E99" s="47"/>
      <c r="F99" s="47" t="str">
        <f aca="false">Milestones!H4</f>
        <v>Critical</v>
      </c>
      <c r="G99" s="47"/>
      <c r="H99" s="48" t="n">
        <f aca="false">Milestones!C4</f>
        <v>46249</v>
      </c>
      <c r="I99" s="47"/>
      <c r="J99" s="47"/>
      <c r="K99" s="49" t="str">
        <f aca="false">IF(AND(K$2&lt;=$H99,(K$2+6)&gt;=$H99),"◆","")</f>
        <v/>
      </c>
      <c r="L99" s="49" t="str">
        <f aca="false">IF(AND(L$2&lt;=$H99,(L$2+6)&gt;=$H99),"◆","")</f>
        <v/>
      </c>
      <c r="M99" s="49" t="str">
        <f aca="false">IF(AND(M$2&lt;=$H99,(M$2+6)&gt;=$H99),"◆","")</f>
        <v/>
      </c>
      <c r="N99" s="49" t="str">
        <f aca="false">IF(AND(N$2&lt;=$H99,(N$2+6)&gt;=$H99),"◆","")</f>
        <v/>
      </c>
      <c r="O99" s="49" t="str">
        <f aca="false">IF(AND(O$2&lt;=$H99,(O$2+6)&gt;=$H99),"◆","")</f>
        <v/>
      </c>
      <c r="P99" s="49" t="str">
        <f aca="false">IF(AND(P$2&lt;=$H99,(P$2+6)&gt;=$H99),"◆","")</f>
        <v/>
      </c>
      <c r="Q99" s="49" t="str">
        <f aca="false">IF(AND(Q$2&lt;=$H99,(Q$2+6)&gt;=$H99),"◆","")</f>
        <v/>
      </c>
      <c r="R99" s="49" t="str">
        <f aca="false">IF(AND(R$2&lt;=$H99,(R$2+6)&gt;=$H99),"◆","")</f>
        <v/>
      </c>
      <c r="S99" s="49" t="str">
        <f aca="false">IF(AND(S$2&lt;=$H99,(S$2+6)&gt;=$H99),"◆","")</f>
        <v/>
      </c>
      <c r="T99" s="49" t="str">
        <f aca="false">IF(AND(T$2&lt;=$H99,(T$2+6)&gt;=$H99),"◆","")</f>
        <v/>
      </c>
      <c r="U99" s="49" t="str">
        <f aca="false">IF(AND(U$2&lt;=$H99,(U$2+6)&gt;=$H99),"◆","")</f>
        <v/>
      </c>
      <c r="V99" s="49" t="str">
        <f aca="false">IF(AND(V$2&lt;=$H99,(V$2+6)&gt;=$H99),"◆","")</f>
        <v/>
      </c>
      <c r="W99" s="49" t="str">
        <f aca="false">IF(AND(W$2&lt;=$H99,(W$2+6)&gt;=$H99),"◆","")</f>
        <v/>
      </c>
      <c r="X99" s="49" t="str">
        <f aca="false">IF(AND(X$2&lt;=$H99,(X$2+6)&gt;=$H99),"◆","")</f>
        <v/>
      </c>
      <c r="Y99" s="49" t="str">
        <f aca="false">IF(AND(Y$2&lt;=$H99,(Y$2+6)&gt;=$H99),"◆","")</f>
        <v/>
      </c>
      <c r="Z99" s="49" t="str">
        <f aca="false">IF(AND(Z$2&lt;=$H99,(Z$2+6)&gt;=$H99),"◆","")</f>
        <v/>
      </c>
      <c r="AA99" s="49" t="str">
        <f aca="false">IF(AND(AA$2&lt;=$H99,(AA$2+6)&gt;=$H99),"◆","")</f>
        <v/>
      </c>
      <c r="AB99" s="49" t="str">
        <f aca="false">IF(AND(AB$2&lt;=$H99,(AB$2+6)&gt;=$H99),"◆","")</f>
        <v/>
      </c>
      <c r="AC99" s="49" t="str">
        <f aca="false">IF(AND(AC$2&lt;=$H99,(AC$2+6)&gt;=$H99),"◆","")</f>
        <v/>
      </c>
      <c r="AD99" s="49" t="str">
        <f aca="false">IF(AND(AD$2&lt;=$H99,(AD$2+6)&gt;=$H99),"◆","")</f>
        <v/>
      </c>
      <c r="AE99" s="49" t="str">
        <f aca="false">IF(AND(AE$2&lt;=$H99,(AE$2+6)&gt;=$H99),"◆","")</f>
        <v/>
      </c>
      <c r="AF99" s="49" t="str">
        <f aca="false">IF(AND(AF$2&lt;=$H99,(AF$2+6)&gt;=$H99),"◆","")</f>
        <v/>
      </c>
      <c r="AG99" s="49" t="str">
        <f aca="false">IF(AND(AG$2&lt;=$H99,(AG$2+6)&gt;=$H99),"◆","")</f>
        <v/>
      </c>
      <c r="AH99" s="49" t="str">
        <f aca="false">IF(AND(AH$2&lt;=$H99,(AH$2+6)&gt;=$H99),"◆","")</f>
        <v/>
      </c>
      <c r="AI99" s="49" t="str">
        <f aca="false">IF(AND(AI$2&lt;=$H99,(AI$2+6)&gt;=$H99),"◆","")</f>
        <v/>
      </c>
      <c r="AJ99" s="49" t="str">
        <f aca="false">IF(AND(AJ$2&lt;=$H99,(AJ$2+6)&gt;=$H99),"◆","")</f>
        <v/>
      </c>
      <c r="AK99" s="49" t="str">
        <f aca="false">IF(AND(AK$2&lt;=$H99,(AK$2+6)&gt;=$H99),"◆","")</f>
        <v/>
      </c>
      <c r="AL99" s="49" t="str">
        <f aca="false">IF(AND(AL$2&lt;=$H99,(AL$2+6)&gt;=$H99),"◆","")</f>
        <v/>
      </c>
      <c r="AM99" s="49" t="str">
        <f aca="false">IF(AND(AM$2&lt;=$H99,(AM$2+6)&gt;=$H99),"◆","")</f>
        <v/>
      </c>
      <c r="AN99" s="49" t="str">
        <f aca="false">IF(AND(AN$2&lt;=$H99,(AN$2+6)&gt;=$H99),"◆","")</f>
        <v/>
      </c>
      <c r="AO99" s="49" t="str">
        <f aca="false">IF(AND(AO$2&lt;=$H99,(AO$2+6)&gt;=$H99),"◆","")</f>
        <v/>
      </c>
      <c r="AP99" s="49" t="str">
        <f aca="false">IF(AND(AP$2&lt;=$H99,(AP$2+6)&gt;=$H99),"◆","")</f>
        <v>◆</v>
      </c>
      <c r="AQ99" s="49" t="str">
        <f aca="false">IF(AND(AQ$2&lt;=$H99,(AQ$2+6)&gt;=$H99),"◆","")</f>
        <v/>
      </c>
      <c r="AR99" s="49" t="str">
        <f aca="false">IF(AND(AR$2&lt;=$H99,(AR$2+6)&gt;=$H99),"◆","")</f>
        <v/>
      </c>
      <c r="AS99" s="49" t="str">
        <f aca="false">IF(AND(AS$2&lt;=$H99,(AS$2+6)&gt;=$H99),"◆","")</f>
        <v/>
      </c>
      <c r="AT99" s="49" t="str">
        <f aca="false">IF(AND(AT$2&lt;=$H99,(AT$2+6)&gt;=$H99),"◆","")</f>
        <v/>
      </c>
      <c r="AU99" s="49" t="str">
        <f aca="false">IF(AND(AU$2&lt;=$H99,(AU$2+6)&gt;=$H99),"◆","")</f>
        <v/>
      </c>
      <c r="AV99" s="49" t="str">
        <f aca="false">IF(AND(AV$2&lt;=$H99,(AV$2+6)&gt;=$H99),"◆","")</f>
        <v/>
      </c>
      <c r="AW99" s="49" t="str">
        <f aca="false">IF(AND(AW$2&lt;=$H99,(AW$2+6)&gt;=$H99),"◆","")</f>
        <v/>
      </c>
      <c r="AX99" s="49" t="str">
        <f aca="false">IF(AND(AX$2&lt;=$H99,(AX$2+6)&gt;=$H99),"◆","")</f>
        <v/>
      </c>
      <c r="AY99" s="49" t="str">
        <f aca="false">IF(AND(AY$2&lt;=$H99,(AY$2+6)&gt;=$H99),"◆","")</f>
        <v/>
      </c>
      <c r="AZ99" s="49" t="str">
        <f aca="false">IF(AND(AZ$2&lt;=$H99,(AZ$2+6)&gt;=$H99),"◆","")</f>
        <v/>
      </c>
      <c r="BA99" s="49" t="str">
        <f aca="false">IF(AND(BA$2&lt;=$H99,(BA$2+6)&gt;=$H99),"◆","")</f>
        <v/>
      </c>
      <c r="BB99" s="49" t="str">
        <f aca="false">IF(AND(BB$2&lt;=$H99,(BB$2+6)&gt;=$H99),"◆","")</f>
        <v/>
      </c>
      <c r="BC99" s="49" t="str">
        <f aca="false">IF(AND(BC$2&lt;=$H99,(BC$2+6)&gt;=$H99),"◆","")</f>
        <v/>
      </c>
      <c r="BD99" s="49" t="str">
        <f aca="false">IF(AND(BD$2&lt;=$H99,(BD$2+6)&gt;=$H99),"◆","")</f>
        <v/>
      </c>
      <c r="BE99" s="49" t="str">
        <f aca="false">IF(AND(BE$2&lt;=$H99,(BE$2+6)&gt;=$H99),"◆","")</f>
        <v/>
      </c>
      <c r="BF99" s="49" t="str">
        <f aca="false">IF(AND(BF$2&lt;=$H99,(BF$2+6)&gt;=$H99),"◆","")</f>
        <v/>
      </c>
      <c r="BG99" s="49" t="str">
        <f aca="false">IF(AND(BG$2&lt;=$H99,(BG$2+6)&gt;=$H99),"◆","")</f>
        <v/>
      </c>
      <c r="BH99" s="49" t="str">
        <f aca="false">IF(AND(BH$2&lt;=$H99,(BH$2+6)&gt;=$H99),"◆","")</f>
        <v/>
      </c>
      <c r="BI99" s="49" t="str">
        <f aca="false">IF(AND(BI$2&lt;=$H99,(BI$2+6)&gt;=$H99),"◆","")</f>
        <v/>
      </c>
      <c r="BJ99" s="49" t="str">
        <f aca="false">IF(AND(BJ$2&lt;=$H99,(BJ$2+6)&gt;=$H99),"◆","")</f>
        <v/>
      </c>
      <c r="BK99" s="49" t="str">
        <f aca="false">IF(AND(BK$2&lt;=$H99,(BK$2+6)&gt;=$H99),"◆","")</f>
        <v/>
      </c>
      <c r="BL99" s="49" t="str">
        <f aca="false">IF(AND(BL$2&lt;=$H99,(BL$2+6)&gt;=$H99),"◆","")</f>
        <v/>
      </c>
      <c r="BM99" s="49" t="str">
        <f aca="false">IF(AND(BM$2&lt;=$H99,(BM$2+6)&gt;=$H99),"◆","")</f>
        <v/>
      </c>
      <c r="BN99" s="49" t="str">
        <f aca="false">IF(AND(BN$2&lt;=$H99,(BN$2+6)&gt;=$H99),"◆","")</f>
        <v/>
      </c>
      <c r="BO99" s="49" t="str">
        <f aca="false">IF(AND(BO$2&lt;=$H99,(BO$2+6)&gt;=$H99),"◆","")</f>
        <v/>
      </c>
      <c r="BP99" s="49" t="str">
        <f aca="false">IF(AND(BP$2&lt;=$H99,(BP$2+6)&gt;=$H99),"◆","")</f>
        <v/>
      </c>
      <c r="BQ99" s="49" t="str">
        <f aca="false">IF(AND(BQ$2&lt;=$H99,(BQ$2+6)&gt;=$H99),"◆","")</f>
        <v/>
      </c>
      <c r="BR99" s="49" t="str">
        <f aca="false">IF(AND(BR$2&lt;=$H99,(BR$2+6)&gt;=$H99),"◆","")</f>
        <v/>
      </c>
      <c r="BS99" s="49" t="str">
        <f aca="false">IF(AND(BS$2&lt;=$H99,(BS$2+6)&gt;=$H99),"◆","")</f>
        <v/>
      </c>
      <c r="BT99" s="49" t="str">
        <f aca="false">IF(AND(BT$2&lt;=$H99,(BT$2+6)&gt;=$H99),"◆","")</f>
        <v/>
      </c>
      <c r="BU99" s="49" t="str">
        <f aca="false">IF(AND(BU$2&lt;=$H99,(BU$2+6)&gt;=$H99),"◆","")</f>
        <v/>
      </c>
      <c r="BV99" s="49" t="str">
        <f aca="false">IF(AND(BV$2&lt;=$H99,(BV$2+6)&gt;=$H99),"◆","")</f>
        <v/>
      </c>
      <c r="BW99" s="49" t="str">
        <f aca="false">IF(AND(BW$2&lt;=$H99,(BW$2+6)&gt;=$H99),"◆","")</f>
        <v/>
      </c>
      <c r="BX99" s="49" t="str">
        <f aca="false">IF(AND(BX$2&lt;=$H99,(BX$2+6)&gt;=$H99),"◆","")</f>
        <v/>
      </c>
      <c r="BY99" s="49" t="str">
        <f aca="false">IF(AND(BY$2&lt;=$H99,(BY$2+6)&gt;=$H99),"◆","")</f>
        <v/>
      </c>
      <c r="BZ99" s="49" t="str">
        <f aca="false">IF(AND(BZ$2&lt;=$H99,(BZ$2+6)&gt;=$H99),"◆","")</f>
        <v/>
      </c>
      <c r="CA99" s="49" t="str">
        <f aca="false">IF(AND(CA$2&lt;=$H99,(CA$2+6)&gt;=$H99),"◆","")</f>
        <v/>
      </c>
      <c r="CB99" s="49" t="str">
        <f aca="false">IF(AND(CB$2&lt;=$H99,(CB$2+6)&gt;=$H99),"◆","")</f>
        <v/>
      </c>
    </row>
    <row r="100" customFormat="false" ht="15" hidden="false" customHeight="false" outlineLevel="0" collapsed="false">
      <c r="A100" s="47" t="s">
        <v>489</v>
      </c>
      <c r="B100" s="47" t="str">
        <f aca="false">Milestones!A5</f>
        <v>اكتمال وحدة إدارة الضمانات الأساسية</v>
      </c>
      <c r="C100" s="47"/>
      <c r="D100" s="47"/>
      <c r="E100" s="47"/>
      <c r="F100" s="47" t="str">
        <f aca="false">Milestones!H5</f>
        <v>Critical</v>
      </c>
      <c r="G100" s="47"/>
      <c r="H100" s="48" t="n">
        <f aca="false">Milestones!C5</f>
        <v>46295</v>
      </c>
      <c r="I100" s="47"/>
      <c r="J100" s="47"/>
      <c r="K100" s="49" t="str">
        <f aca="false">IF(AND(K$2&lt;=$H100,(K$2+6)&gt;=$H100),"◆","")</f>
        <v/>
      </c>
      <c r="L100" s="49" t="str">
        <f aca="false">IF(AND(L$2&lt;=$H100,(L$2+6)&gt;=$H100),"◆","")</f>
        <v/>
      </c>
      <c r="M100" s="49" t="str">
        <f aca="false">IF(AND(M$2&lt;=$H100,(M$2+6)&gt;=$H100),"◆","")</f>
        <v/>
      </c>
      <c r="N100" s="49" t="str">
        <f aca="false">IF(AND(N$2&lt;=$H100,(N$2+6)&gt;=$H100),"◆","")</f>
        <v/>
      </c>
      <c r="O100" s="49" t="str">
        <f aca="false">IF(AND(O$2&lt;=$H100,(O$2+6)&gt;=$H100),"◆","")</f>
        <v/>
      </c>
      <c r="P100" s="49" t="str">
        <f aca="false">IF(AND(P$2&lt;=$H100,(P$2+6)&gt;=$H100),"◆","")</f>
        <v/>
      </c>
      <c r="Q100" s="49" t="str">
        <f aca="false">IF(AND(Q$2&lt;=$H100,(Q$2+6)&gt;=$H100),"◆","")</f>
        <v/>
      </c>
      <c r="R100" s="49" t="str">
        <f aca="false">IF(AND(R$2&lt;=$H100,(R$2+6)&gt;=$H100),"◆","")</f>
        <v/>
      </c>
      <c r="S100" s="49" t="str">
        <f aca="false">IF(AND(S$2&lt;=$H100,(S$2+6)&gt;=$H100),"◆","")</f>
        <v/>
      </c>
      <c r="T100" s="49" t="str">
        <f aca="false">IF(AND(T$2&lt;=$H100,(T$2+6)&gt;=$H100),"◆","")</f>
        <v/>
      </c>
      <c r="U100" s="49" t="str">
        <f aca="false">IF(AND(U$2&lt;=$H100,(U$2+6)&gt;=$H100),"◆","")</f>
        <v/>
      </c>
      <c r="V100" s="49" t="str">
        <f aca="false">IF(AND(V$2&lt;=$H100,(V$2+6)&gt;=$H100),"◆","")</f>
        <v/>
      </c>
      <c r="W100" s="49" t="str">
        <f aca="false">IF(AND(W$2&lt;=$H100,(W$2+6)&gt;=$H100),"◆","")</f>
        <v/>
      </c>
      <c r="X100" s="49" t="str">
        <f aca="false">IF(AND(X$2&lt;=$H100,(X$2+6)&gt;=$H100),"◆","")</f>
        <v/>
      </c>
      <c r="Y100" s="49" t="str">
        <f aca="false">IF(AND(Y$2&lt;=$H100,(Y$2+6)&gt;=$H100),"◆","")</f>
        <v/>
      </c>
      <c r="Z100" s="49" t="str">
        <f aca="false">IF(AND(Z$2&lt;=$H100,(Z$2+6)&gt;=$H100),"◆","")</f>
        <v/>
      </c>
      <c r="AA100" s="49" t="str">
        <f aca="false">IF(AND(AA$2&lt;=$H100,(AA$2+6)&gt;=$H100),"◆","")</f>
        <v/>
      </c>
      <c r="AB100" s="49" t="str">
        <f aca="false">IF(AND(AB$2&lt;=$H100,(AB$2+6)&gt;=$H100),"◆","")</f>
        <v/>
      </c>
      <c r="AC100" s="49" t="str">
        <f aca="false">IF(AND(AC$2&lt;=$H100,(AC$2+6)&gt;=$H100),"◆","")</f>
        <v/>
      </c>
      <c r="AD100" s="49" t="str">
        <f aca="false">IF(AND(AD$2&lt;=$H100,(AD$2+6)&gt;=$H100),"◆","")</f>
        <v/>
      </c>
      <c r="AE100" s="49" t="str">
        <f aca="false">IF(AND(AE$2&lt;=$H100,(AE$2+6)&gt;=$H100),"◆","")</f>
        <v/>
      </c>
      <c r="AF100" s="49" t="str">
        <f aca="false">IF(AND(AF$2&lt;=$H100,(AF$2+6)&gt;=$H100),"◆","")</f>
        <v/>
      </c>
      <c r="AG100" s="49" t="str">
        <f aca="false">IF(AND(AG$2&lt;=$H100,(AG$2+6)&gt;=$H100),"◆","")</f>
        <v/>
      </c>
      <c r="AH100" s="49" t="str">
        <f aca="false">IF(AND(AH$2&lt;=$H100,(AH$2+6)&gt;=$H100),"◆","")</f>
        <v/>
      </c>
      <c r="AI100" s="49" t="str">
        <f aca="false">IF(AND(AI$2&lt;=$H100,(AI$2+6)&gt;=$H100),"◆","")</f>
        <v/>
      </c>
      <c r="AJ100" s="49" t="str">
        <f aca="false">IF(AND(AJ$2&lt;=$H100,(AJ$2+6)&gt;=$H100),"◆","")</f>
        <v/>
      </c>
      <c r="AK100" s="49" t="str">
        <f aca="false">IF(AND(AK$2&lt;=$H100,(AK$2+6)&gt;=$H100),"◆","")</f>
        <v/>
      </c>
      <c r="AL100" s="49" t="str">
        <f aca="false">IF(AND(AL$2&lt;=$H100,(AL$2+6)&gt;=$H100),"◆","")</f>
        <v/>
      </c>
      <c r="AM100" s="49" t="str">
        <f aca="false">IF(AND(AM$2&lt;=$H100,(AM$2+6)&gt;=$H100),"◆","")</f>
        <v/>
      </c>
      <c r="AN100" s="49" t="str">
        <f aca="false">IF(AND(AN$2&lt;=$H100,(AN$2+6)&gt;=$H100),"◆","")</f>
        <v/>
      </c>
      <c r="AO100" s="49" t="str">
        <f aca="false">IF(AND(AO$2&lt;=$H100,(AO$2+6)&gt;=$H100),"◆","")</f>
        <v/>
      </c>
      <c r="AP100" s="49" t="str">
        <f aca="false">IF(AND(AP$2&lt;=$H100,(AP$2+6)&gt;=$H100),"◆","")</f>
        <v/>
      </c>
      <c r="AQ100" s="49" t="str">
        <f aca="false">IF(AND(AQ$2&lt;=$H100,(AQ$2+6)&gt;=$H100),"◆","")</f>
        <v/>
      </c>
      <c r="AR100" s="49" t="str">
        <f aca="false">IF(AND(AR$2&lt;=$H100,(AR$2+6)&gt;=$H100),"◆","")</f>
        <v/>
      </c>
      <c r="AS100" s="49" t="str">
        <f aca="false">IF(AND(AS$2&lt;=$H100,(AS$2+6)&gt;=$H100),"◆","")</f>
        <v/>
      </c>
      <c r="AT100" s="49" t="str">
        <f aca="false">IF(AND(AT$2&lt;=$H100,(AT$2+6)&gt;=$H100),"◆","")</f>
        <v/>
      </c>
      <c r="AU100" s="49" t="str">
        <f aca="false">IF(AND(AU$2&lt;=$H100,(AU$2+6)&gt;=$H100),"◆","")</f>
        <v/>
      </c>
      <c r="AV100" s="49" t="str">
        <f aca="false">IF(AND(AV$2&lt;=$H100,(AV$2+6)&gt;=$H100),"◆","")</f>
        <v/>
      </c>
      <c r="AW100" s="49" t="str">
        <f aca="false">IF(AND(AW$2&lt;=$H100,(AW$2+6)&gt;=$H100),"◆","")</f>
        <v>◆</v>
      </c>
      <c r="AX100" s="49" t="str">
        <f aca="false">IF(AND(AX$2&lt;=$H100,(AX$2+6)&gt;=$H100),"◆","")</f>
        <v/>
      </c>
      <c r="AY100" s="49" t="str">
        <f aca="false">IF(AND(AY$2&lt;=$H100,(AY$2+6)&gt;=$H100),"◆","")</f>
        <v/>
      </c>
      <c r="AZ100" s="49" t="str">
        <f aca="false">IF(AND(AZ$2&lt;=$H100,(AZ$2+6)&gt;=$H100),"◆","")</f>
        <v/>
      </c>
      <c r="BA100" s="49" t="str">
        <f aca="false">IF(AND(BA$2&lt;=$H100,(BA$2+6)&gt;=$H100),"◆","")</f>
        <v/>
      </c>
      <c r="BB100" s="49" t="str">
        <f aca="false">IF(AND(BB$2&lt;=$H100,(BB$2+6)&gt;=$H100),"◆","")</f>
        <v/>
      </c>
      <c r="BC100" s="49" t="str">
        <f aca="false">IF(AND(BC$2&lt;=$H100,(BC$2+6)&gt;=$H100),"◆","")</f>
        <v/>
      </c>
      <c r="BD100" s="49" t="str">
        <f aca="false">IF(AND(BD$2&lt;=$H100,(BD$2+6)&gt;=$H100),"◆","")</f>
        <v/>
      </c>
      <c r="BE100" s="49" t="str">
        <f aca="false">IF(AND(BE$2&lt;=$H100,(BE$2+6)&gt;=$H100),"◆","")</f>
        <v/>
      </c>
      <c r="BF100" s="49" t="str">
        <f aca="false">IF(AND(BF$2&lt;=$H100,(BF$2+6)&gt;=$H100),"◆","")</f>
        <v/>
      </c>
      <c r="BG100" s="49" t="str">
        <f aca="false">IF(AND(BG$2&lt;=$H100,(BG$2+6)&gt;=$H100),"◆","")</f>
        <v/>
      </c>
      <c r="BH100" s="49" t="str">
        <f aca="false">IF(AND(BH$2&lt;=$H100,(BH$2+6)&gt;=$H100),"◆","")</f>
        <v/>
      </c>
      <c r="BI100" s="49" t="str">
        <f aca="false">IF(AND(BI$2&lt;=$H100,(BI$2+6)&gt;=$H100),"◆","")</f>
        <v/>
      </c>
      <c r="BJ100" s="49" t="str">
        <f aca="false">IF(AND(BJ$2&lt;=$H100,(BJ$2+6)&gt;=$H100),"◆","")</f>
        <v/>
      </c>
      <c r="BK100" s="49" t="str">
        <f aca="false">IF(AND(BK$2&lt;=$H100,(BK$2+6)&gt;=$H100),"◆","")</f>
        <v/>
      </c>
      <c r="BL100" s="49" t="str">
        <f aca="false">IF(AND(BL$2&lt;=$H100,(BL$2+6)&gt;=$H100),"◆","")</f>
        <v/>
      </c>
      <c r="BM100" s="49" t="str">
        <f aca="false">IF(AND(BM$2&lt;=$H100,(BM$2+6)&gt;=$H100),"◆","")</f>
        <v/>
      </c>
      <c r="BN100" s="49" t="str">
        <f aca="false">IF(AND(BN$2&lt;=$H100,(BN$2+6)&gt;=$H100),"◆","")</f>
        <v/>
      </c>
      <c r="BO100" s="49" t="str">
        <f aca="false">IF(AND(BO$2&lt;=$H100,(BO$2+6)&gt;=$H100),"◆","")</f>
        <v/>
      </c>
      <c r="BP100" s="49" t="str">
        <f aca="false">IF(AND(BP$2&lt;=$H100,(BP$2+6)&gt;=$H100),"◆","")</f>
        <v/>
      </c>
      <c r="BQ100" s="49" t="str">
        <f aca="false">IF(AND(BQ$2&lt;=$H100,(BQ$2+6)&gt;=$H100),"◆","")</f>
        <v/>
      </c>
      <c r="BR100" s="49" t="str">
        <f aca="false">IF(AND(BR$2&lt;=$H100,(BR$2+6)&gt;=$H100),"◆","")</f>
        <v/>
      </c>
      <c r="BS100" s="49" t="str">
        <f aca="false">IF(AND(BS$2&lt;=$H100,(BS$2+6)&gt;=$H100),"◆","")</f>
        <v/>
      </c>
      <c r="BT100" s="49" t="str">
        <f aca="false">IF(AND(BT$2&lt;=$H100,(BT$2+6)&gt;=$H100),"◆","")</f>
        <v/>
      </c>
      <c r="BU100" s="49" t="str">
        <f aca="false">IF(AND(BU$2&lt;=$H100,(BU$2+6)&gt;=$H100),"◆","")</f>
        <v/>
      </c>
      <c r="BV100" s="49" t="str">
        <f aca="false">IF(AND(BV$2&lt;=$H100,(BV$2+6)&gt;=$H100),"◆","")</f>
        <v/>
      </c>
      <c r="BW100" s="49" t="str">
        <f aca="false">IF(AND(BW$2&lt;=$H100,(BW$2+6)&gt;=$H100),"◆","")</f>
        <v/>
      </c>
      <c r="BX100" s="49" t="str">
        <f aca="false">IF(AND(BX$2&lt;=$H100,(BX$2+6)&gt;=$H100),"◆","")</f>
        <v/>
      </c>
      <c r="BY100" s="49" t="str">
        <f aca="false">IF(AND(BY$2&lt;=$H100,(BY$2+6)&gt;=$H100),"◆","")</f>
        <v/>
      </c>
      <c r="BZ100" s="49" t="str">
        <f aca="false">IF(AND(BZ$2&lt;=$H100,(BZ$2+6)&gt;=$H100),"◆","")</f>
        <v/>
      </c>
      <c r="CA100" s="49" t="str">
        <f aca="false">IF(AND(CA$2&lt;=$H100,(CA$2+6)&gt;=$H100),"◆","")</f>
        <v/>
      </c>
      <c r="CB100" s="49" t="str">
        <f aca="false">IF(AND(CB$2&lt;=$H100,(CB$2+6)&gt;=$H100),"◆","")</f>
        <v/>
      </c>
    </row>
    <row r="101" customFormat="false" ht="15" hidden="false" customHeight="false" outlineLevel="0" collapsed="false">
      <c r="A101" s="47" t="s">
        <v>490</v>
      </c>
      <c r="B101" s="47" t="str">
        <f aca="false">Milestones!A6</f>
        <v>إصدار النسخة التجريبية العامة (Beta)</v>
      </c>
      <c r="C101" s="47"/>
      <c r="D101" s="47"/>
      <c r="E101" s="47"/>
      <c r="F101" s="47" t="str">
        <f aca="false">Milestones!H6</f>
        <v>High</v>
      </c>
      <c r="G101" s="47"/>
      <c r="H101" s="48" t="n">
        <f aca="false">Milestones!C6</f>
        <v>46341</v>
      </c>
      <c r="I101" s="47"/>
      <c r="J101" s="47"/>
      <c r="K101" s="49" t="str">
        <f aca="false">IF(AND(K$2&lt;=$H101,(K$2+6)&gt;=$H101),"◆","")</f>
        <v/>
      </c>
      <c r="L101" s="49" t="str">
        <f aca="false">IF(AND(L$2&lt;=$H101,(L$2+6)&gt;=$H101),"◆","")</f>
        <v/>
      </c>
      <c r="M101" s="49" t="str">
        <f aca="false">IF(AND(M$2&lt;=$H101,(M$2+6)&gt;=$H101),"◆","")</f>
        <v/>
      </c>
      <c r="N101" s="49" t="str">
        <f aca="false">IF(AND(N$2&lt;=$H101,(N$2+6)&gt;=$H101),"◆","")</f>
        <v/>
      </c>
      <c r="O101" s="49" t="str">
        <f aca="false">IF(AND(O$2&lt;=$H101,(O$2+6)&gt;=$H101),"◆","")</f>
        <v/>
      </c>
      <c r="P101" s="49" t="str">
        <f aca="false">IF(AND(P$2&lt;=$H101,(P$2+6)&gt;=$H101),"◆","")</f>
        <v/>
      </c>
      <c r="Q101" s="49" t="str">
        <f aca="false">IF(AND(Q$2&lt;=$H101,(Q$2+6)&gt;=$H101),"◆","")</f>
        <v/>
      </c>
      <c r="R101" s="49" t="str">
        <f aca="false">IF(AND(R$2&lt;=$H101,(R$2+6)&gt;=$H101),"◆","")</f>
        <v/>
      </c>
      <c r="S101" s="49" t="str">
        <f aca="false">IF(AND(S$2&lt;=$H101,(S$2+6)&gt;=$H101),"◆","")</f>
        <v/>
      </c>
      <c r="T101" s="49" t="str">
        <f aca="false">IF(AND(T$2&lt;=$H101,(T$2+6)&gt;=$H101),"◆","")</f>
        <v/>
      </c>
      <c r="U101" s="49" t="str">
        <f aca="false">IF(AND(U$2&lt;=$H101,(U$2+6)&gt;=$H101),"◆","")</f>
        <v/>
      </c>
      <c r="V101" s="49" t="str">
        <f aca="false">IF(AND(V$2&lt;=$H101,(V$2+6)&gt;=$H101),"◆","")</f>
        <v/>
      </c>
      <c r="W101" s="49" t="str">
        <f aca="false">IF(AND(W$2&lt;=$H101,(W$2+6)&gt;=$H101),"◆","")</f>
        <v/>
      </c>
      <c r="X101" s="49" t="str">
        <f aca="false">IF(AND(X$2&lt;=$H101,(X$2+6)&gt;=$H101),"◆","")</f>
        <v/>
      </c>
      <c r="Y101" s="49" t="str">
        <f aca="false">IF(AND(Y$2&lt;=$H101,(Y$2+6)&gt;=$H101),"◆","")</f>
        <v/>
      </c>
      <c r="Z101" s="49" t="str">
        <f aca="false">IF(AND(Z$2&lt;=$H101,(Z$2+6)&gt;=$H101),"◆","")</f>
        <v/>
      </c>
      <c r="AA101" s="49" t="str">
        <f aca="false">IF(AND(AA$2&lt;=$H101,(AA$2+6)&gt;=$H101),"◆","")</f>
        <v/>
      </c>
      <c r="AB101" s="49" t="str">
        <f aca="false">IF(AND(AB$2&lt;=$H101,(AB$2+6)&gt;=$H101),"◆","")</f>
        <v/>
      </c>
      <c r="AC101" s="49" t="str">
        <f aca="false">IF(AND(AC$2&lt;=$H101,(AC$2+6)&gt;=$H101),"◆","")</f>
        <v/>
      </c>
      <c r="AD101" s="49" t="str">
        <f aca="false">IF(AND(AD$2&lt;=$H101,(AD$2+6)&gt;=$H101),"◆","")</f>
        <v/>
      </c>
      <c r="AE101" s="49" t="str">
        <f aca="false">IF(AND(AE$2&lt;=$H101,(AE$2+6)&gt;=$H101),"◆","")</f>
        <v/>
      </c>
      <c r="AF101" s="49" t="str">
        <f aca="false">IF(AND(AF$2&lt;=$H101,(AF$2+6)&gt;=$H101),"◆","")</f>
        <v/>
      </c>
      <c r="AG101" s="49" t="str">
        <f aca="false">IF(AND(AG$2&lt;=$H101,(AG$2+6)&gt;=$H101),"◆","")</f>
        <v/>
      </c>
      <c r="AH101" s="49" t="str">
        <f aca="false">IF(AND(AH$2&lt;=$H101,(AH$2+6)&gt;=$H101),"◆","")</f>
        <v/>
      </c>
      <c r="AI101" s="49" t="str">
        <f aca="false">IF(AND(AI$2&lt;=$H101,(AI$2+6)&gt;=$H101),"◆","")</f>
        <v/>
      </c>
      <c r="AJ101" s="49" t="str">
        <f aca="false">IF(AND(AJ$2&lt;=$H101,(AJ$2+6)&gt;=$H101),"◆","")</f>
        <v/>
      </c>
      <c r="AK101" s="49" t="str">
        <f aca="false">IF(AND(AK$2&lt;=$H101,(AK$2+6)&gt;=$H101),"◆","")</f>
        <v/>
      </c>
      <c r="AL101" s="49" t="str">
        <f aca="false">IF(AND(AL$2&lt;=$H101,(AL$2+6)&gt;=$H101),"◆","")</f>
        <v/>
      </c>
      <c r="AM101" s="49" t="str">
        <f aca="false">IF(AND(AM$2&lt;=$H101,(AM$2+6)&gt;=$H101),"◆","")</f>
        <v/>
      </c>
      <c r="AN101" s="49" t="str">
        <f aca="false">IF(AND(AN$2&lt;=$H101,(AN$2+6)&gt;=$H101),"◆","")</f>
        <v/>
      </c>
      <c r="AO101" s="49" t="str">
        <f aca="false">IF(AND(AO$2&lt;=$H101,(AO$2+6)&gt;=$H101),"◆","")</f>
        <v/>
      </c>
      <c r="AP101" s="49" t="str">
        <f aca="false">IF(AND(AP$2&lt;=$H101,(AP$2+6)&gt;=$H101),"◆","")</f>
        <v/>
      </c>
      <c r="AQ101" s="49" t="str">
        <f aca="false">IF(AND(AQ$2&lt;=$H101,(AQ$2+6)&gt;=$H101),"◆","")</f>
        <v/>
      </c>
      <c r="AR101" s="49" t="str">
        <f aca="false">IF(AND(AR$2&lt;=$H101,(AR$2+6)&gt;=$H101),"◆","")</f>
        <v/>
      </c>
      <c r="AS101" s="49" t="str">
        <f aca="false">IF(AND(AS$2&lt;=$H101,(AS$2+6)&gt;=$H101),"◆","")</f>
        <v/>
      </c>
      <c r="AT101" s="49" t="str">
        <f aca="false">IF(AND(AT$2&lt;=$H101,(AT$2+6)&gt;=$H101),"◆","")</f>
        <v/>
      </c>
      <c r="AU101" s="49" t="str">
        <f aca="false">IF(AND(AU$2&lt;=$H101,(AU$2+6)&gt;=$H101),"◆","")</f>
        <v/>
      </c>
      <c r="AV101" s="49" t="str">
        <f aca="false">IF(AND(AV$2&lt;=$H101,(AV$2+6)&gt;=$H101),"◆","")</f>
        <v/>
      </c>
      <c r="AW101" s="49" t="str">
        <f aca="false">IF(AND(AW$2&lt;=$H101,(AW$2+6)&gt;=$H101),"◆","")</f>
        <v/>
      </c>
      <c r="AX101" s="49" t="str">
        <f aca="false">IF(AND(AX$2&lt;=$H101,(AX$2+6)&gt;=$H101),"◆","")</f>
        <v/>
      </c>
      <c r="AY101" s="49" t="str">
        <f aca="false">IF(AND(AY$2&lt;=$H101,(AY$2+6)&gt;=$H101),"◆","")</f>
        <v/>
      </c>
      <c r="AZ101" s="49" t="str">
        <f aca="false">IF(AND(AZ$2&lt;=$H101,(AZ$2+6)&gt;=$H101),"◆","")</f>
        <v/>
      </c>
      <c r="BA101" s="49" t="str">
        <f aca="false">IF(AND(BA$2&lt;=$H101,(BA$2+6)&gt;=$H101),"◆","")</f>
        <v/>
      </c>
      <c r="BB101" s="49" t="str">
        <f aca="false">IF(AND(BB$2&lt;=$H101,(BB$2+6)&gt;=$H101),"◆","")</f>
        <v/>
      </c>
      <c r="BC101" s="49" t="str">
        <f aca="false">IF(AND(BC$2&lt;=$H101,(BC$2+6)&gt;=$H101),"◆","")</f>
        <v>◆</v>
      </c>
      <c r="BD101" s="49" t="str">
        <f aca="false">IF(AND(BD$2&lt;=$H101,(BD$2+6)&gt;=$H101),"◆","")</f>
        <v/>
      </c>
      <c r="BE101" s="49" t="str">
        <f aca="false">IF(AND(BE$2&lt;=$H101,(BE$2+6)&gt;=$H101),"◆","")</f>
        <v/>
      </c>
      <c r="BF101" s="49" t="str">
        <f aca="false">IF(AND(BF$2&lt;=$H101,(BF$2+6)&gt;=$H101),"◆","")</f>
        <v/>
      </c>
      <c r="BG101" s="49" t="str">
        <f aca="false">IF(AND(BG$2&lt;=$H101,(BG$2+6)&gt;=$H101),"◆","")</f>
        <v/>
      </c>
      <c r="BH101" s="49" t="str">
        <f aca="false">IF(AND(BH$2&lt;=$H101,(BH$2+6)&gt;=$H101),"◆","")</f>
        <v/>
      </c>
      <c r="BI101" s="49" t="str">
        <f aca="false">IF(AND(BI$2&lt;=$H101,(BI$2+6)&gt;=$H101),"◆","")</f>
        <v/>
      </c>
      <c r="BJ101" s="49" t="str">
        <f aca="false">IF(AND(BJ$2&lt;=$H101,(BJ$2+6)&gt;=$H101),"◆","")</f>
        <v/>
      </c>
      <c r="BK101" s="49" t="str">
        <f aca="false">IF(AND(BK$2&lt;=$H101,(BK$2+6)&gt;=$H101),"◆","")</f>
        <v/>
      </c>
      <c r="BL101" s="49" t="str">
        <f aca="false">IF(AND(BL$2&lt;=$H101,(BL$2+6)&gt;=$H101),"◆","")</f>
        <v/>
      </c>
      <c r="BM101" s="49" t="str">
        <f aca="false">IF(AND(BM$2&lt;=$H101,(BM$2+6)&gt;=$H101),"◆","")</f>
        <v/>
      </c>
      <c r="BN101" s="49" t="str">
        <f aca="false">IF(AND(BN$2&lt;=$H101,(BN$2+6)&gt;=$H101),"◆","")</f>
        <v/>
      </c>
      <c r="BO101" s="49" t="str">
        <f aca="false">IF(AND(BO$2&lt;=$H101,(BO$2+6)&gt;=$H101),"◆","")</f>
        <v/>
      </c>
      <c r="BP101" s="49" t="str">
        <f aca="false">IF(AND(BP$2&lt;=$H101,(BP$2+6)&gt;=$H101),"◆","")</f>
        <v/>
      </c>
      <c r="BQ101" s="49" t="str">
        <f aca="false">IF(AND(BQ$2&lt;=$H101,(BQ$2+6)&gt;=$H101),"◆","")</f>
        <v/>
      </c>
      <c r="BR101" s="49" t="str">
        <f aca="false">IF(AND(BR$2&lt;=$H101,(BR$2+6)&gt;=$H101),"◆","")</f>
        <v/>
      </c>
      <c r="BS101" s="49" t="str">
        <f aca="false">IF(AND(BS$2&lt;=$H101,(BS$2+6)&gt;=$H101),"◆","")</f>
        <v/>
      </c>
      <c r="BT101" s="49" t="str">
        <f aca="false">IF(AND(BT$2&lt;=$H101,(BT$2+6)&gt;=$H101),"◆","")</f>
        <v/>
      </c>
      <c r="BU101" s="49" t="str">
        <f aca="false">IF(AND(BU$2&lt;=$H101,(BU$2+6)&gt;=$H101),"◆","")</f>
        <v/>
      </c>
      <c r="BV101" s="49" t="str">
        <f aca="false">IF(AND(BV$2&lt;=$H101,(BV$2+6)&gt;=$H101),"◆","")</f>
        <v/>
      </c>
      <c r="BW101" s="49" t="str">
        <f aca="false">IF(AND(BW$2&lt;=$H101,(BW$2+6)&gt;=$H101),"◆","")</f>
        <v/>
      </c>
      <c r="BX101" s="49" t="str">
        <f aca="false">IF(AND(BX$2&lt;=$H101,(BX$2+6)&gt;=$H101),"◆","")</f>
        <v/>
      </c>
      <c r="BY101" s="49" t="str">
        <f aca="false">IF(AND(BY$2&lt;=$H101,(BY$2+6)&gt;=$H101),"◆","")</f>
        <v/>
      </c>
      <c r="BZ101" s="49" t="str">
        <f aca="false">IF(AND(BZ$2&lt;=$H101,(BZ$2+6)&gt;=$H101),"◆","")</f>
        <v/>
      </c>
      <c r="CA101" s="49" t="str">
        <f aca="false">IF(AND(CA$2&lt;=$H101,(CA$2+6)&gt;=$H101),"◆","")</f>
        <v/>
      </c>
      <c r="CB101" s="49" t="str">
        <f aca="false">IF(AND(CB$2&lt;=$H101,(CB$2+6)&gt;=$H101),"◆","")</f>
        <v/>
      </c>
    </row>
    <row r="102" customFormat="false" ht="15" hidden="false" customHeight="false" outlineLevel="0" collapsed="false">
      <c r="A102" s="47" t="s">
        <v>491</v>
      </c>
      <c r="B102" s="47" t="str">
        <f aca="false">Milestones!A7</f>
        <v>اكتمال الاختبارات الأمنية والأداء</v>
      </c>
      <c r="C102" s="47"/>
      <c r="D102" s="47"/>
      <c r="E102" s="47"/>
      <c r="F102" s="47" t="str">
        <f aca="false">Milestones!H7</f>
        <v>Critical</v>
      </c>
      <c r="G102" s="47"/>
      <c r="H102" s="48" t="n">
        <f aca="false">Milestones!C7</f>
        <v>46397</v>
      </c>
      <c r="I102" s="47"/>
      <c r="J102" s="47"/>
      <c r="K102" s="49" t="str">
        <f aca="false">IF(AND(K$2&lt;=$H102,(K$2+6)&gt;=$H102),"◆","")</f>
        <v/>
      </c>
      <c r="L102" s="49" t="str">
        <f aca="false">IF(AND(L$2&lt;=$H102,(L$2+6)&gt;=$H102),"◆","")</f>
        <v/>
      </c>
      <c r="M102" s="49" t="str">
        <f aca="false">IF(AND(M$2&lt;=$H102,(M$2+6)&gt;=$H102),"◆","")</f>
        <v/>
      </c>
      <c r="N102" s="49" t="str">
        <f aca="false">IF(AND(N$2&lt;=$H102,(N$2+6)&gt;=$H102),"◆","")</f>
        <v/>
      </c>
      <c r="O102" s="49" t="str">
        <f aca="false">IF(AND(O$2&lt;=$H102,(O$2+6)&gt;=$H102),"◆","")</f>
        <v/>
      </c>
      <c r="P102" s="49" t="str">
        <f aca="false">IF(AND(P$2&lt;=$H102,(P$2+6)&gt;=$H102),"◆","")</f>
        <v/>
      </c>
      <c r="Q102" s="49" t="str">
        <f aca="false">IF(AND(Q$2&lt;=$H102,(Q$2+6)&gt;=$H102),"◆","")</f>
        <v/>
      </c>
      <c r="R102" s="49" t="str">
        <f aca="false">IF(AND(R$2&lt;=$H102,(R$2+6)&gt;=$H102),"◆","")</f>
        <v/>
      </c>
      <c r="S102" s="49" t="str">
        <f aca="false">IF(AND(S$2&lt;=$H102,(S$2+6)&gt;=$H102),"◆","")</f>
        <v/>
      </c>
      <c r="T102" s="49" t="str">
        <f aca="false">IF(AND(T$2&lt;=$H102,(T$2+6)&gt;=$H102),"◆","")</f>
        <v/>
      </c>
      <c r="U102" s="49" t="str">
        <f aca="false">IF(AND(U$2&lt;=$H102,(U$2+6)&gt;=$H102),"◆","")</f>
        <v/>
      </c>
      <c r="V102" s="49" t="str">
        <f aca="false">IF(AND(V$2&lt;=$H102,(V$2+6)&gt;=$H102),"◆","")</f>
        <v/>
      </c>
      <c r="W102" s="49" t="str">
        <f aca="false">IF(AND(W$2&lt;=$H102,(W$2+6)&gt;=$H102),"◆","")</f>
        <v/>
      </c>
      <c r="X102" s="49" t="str">
        <f aca="false">IF(AND(X$2&lt;=$H102,(X$2+6)&gt;=$H102),"◆","")</f>
        <v/>
      </c>
      <c r="Y102" s="49" t="str">
        <f aca="false">IF(AND(Y$2&lt;=$H102,(Y$2+6)&gt;=$H102),"◆","")</f>
        <v/>
      </c>
      <c r="Z102" s="49" t="str">
        <f aca="false">IF(AND(Z$2&lt;=$H102,(Z$2+6)&gt;=$H102),"◆","")</f>
        <v/>
      </c>
      <c r="AA102" s="49" t="str">
        <f aca="false">IF(AND(AA$2&lt;=$H102,(AA$2+6)&gt;=$H102),"◆","")</f>
        <v/>
      </c>
      <c r="AB102" s="49" t="str">
        <f aca="false">IF(AND(AB$2&lt;=$H102,(AB$2+6)&gt;=$H102),"◆","")</f>
        <v/>
      </c>
      <c r="AC102" s="49" t="str">
        <f aca="false">IF(AND(AC$2&lt;=$H102,(AC$2+6)&gt;=$H102),"◆","")</f>
        <v/>
      </c>
      <c r="AD102" s="49" t="str">
        <f aca="false">IF(AND(AD$2&lt;=$H102,(AD$2+6)&gt;=$H102),"◆","")</f>
        <v/>
      </c>
      <c r="AE102" s="49" t="str">
        <f aca="false">IF(AND(AE$2&lt;=$H102,(AE$2+6)&gt;=$H102),"◆","")</f>
        <v/>
      </c>
      <c r="AF102" s="49" t="str">
        <f aca="false">IF(AND(AF$2&lt;=$H102,(AF$2+6)&gt;=$H102),"◆","")</f>
        <v/>
      </c>
      <c r="AG102" s="49" t="str">
        <f aca="false">IF(AND(AG$2&lt;=$H102,(AG$2+6)&gt;=$H102),"◆","")</f>
        <v/>
      </c>
      <c r="AH102" s="49" t="str">
        <f aca="false">IF(AND(AH$2&lt;=$H102,(AH$2+6)&gt;=$H102),"◆","")</f>
        <v/>
      </c>
      <c r="AI102" s="49" t="str">
        <f aca="false">IF(AND(AI$2&lt;=$H102,(AI$2+6)&gt;=$H102),"◆","")</f>
        <v/>
      </c>
      <c r="AJ102" s="49" t="str">
        <f aca="false">IF(AND(AJ$2&lt;=$H102,(AJ$2+6)&gt;=$H102),"◆","")</f>
        <v/>
      </c>
      <c r="AK102" s="49" t="str">
        <f aca="false">IF(AND(AK$2&lt;=$H102,(AK$2+6)&gt;=$H102),"◆","")</f>
        <v/>
      </c>
      <c r="AL102" s="49" t="str">
        <f aca="false">IF(AND(AL$2&lt;=$H102,(AL$2+6)&gt;=$H102),"◆","")</f>
        <v/>
      </c>
      <c r="AM102" s="49" t="str">
        <f aca="false">IF(AND(AM$2&lt;=$H102,(AM$2+6)&gt;=$H102),"◆","")</f>
        <v/>
      </c>
      <c r="AN102" s="49" t="str">
        <f aca="false">IF(AND(AN$2&lt;=$H102,(AN$2+6)&gt;=$H102),"◆","")</f>
        <v/>
      </c>
      <c r="AO102" s="49" t="str">
        <f aca="false">IF(AND(AO$2&lt;=$H102,(AO$2+6)&gt;=$H102),"◆","")</f>
        <v/>
      </c>
      <c r="AP102" s="49" t="str">
        <f aca="false">IF(AND(AP$2&lt;=$H102,(AP$2+6)&gt;=$H102),"◆","")</f>
        <v/>
      </c>
      <c r="AQ102" s="49" t="str">
        <f aca="false">IF(AND(AQ$2&lt;=$H102,(AQ$2+6)&gt;=$H102),"◆","")</f>
        <v/>
      </c>
      <c r="AR102" s="49" t="str">
        <f aca="false">IF(AND(AR$2&lt;=$H102,(AR$2+6)&gt;=$H102),"◆","")</f>
        <v/>
      </c>
      <c r="AS102" s="49" t="str">
        <f aca="false">IF(AND(AS$2&lt;=$H102,(AS$2+6)&gt;=$H102),"◆","")</f>
        <v/>
      </c>
      <c r="AT102" s="49" t="str">
        <f aca="false">IF(AND(AT$2&lt;=$H102,(AT$2+6)&gt;=$H102),"◆","")</f>
        <v/>
      </c>
      <c r="AU102" s="49" t="str">
        <f aca="false">IF(AND(AU$2&lt;=$H102,(AU$2+6)&gt;=$H102),"◆","")</f>
        <v/>
      </c>
      <c r="AV102" s="49" t="str">
        <f aca="false">IF(AND(AV$2&lt;=$H102,(AV$2+6)&gt;=$H102),"◆","")</f>
        <v/>
      </c>
      <c r="AW102" s="49" t="str">
        <f aca="false">IF(AND(AW$2&lt;=$H102,(AW$2+6)&gt;=$H102),"◆","")</f>
        <v/>
      </c>
      <c r="AX102" s="49" t="str">
        <f aca="false">IF(AND(AX$2&lt;=$H102,(AX$2+6)&gt;=$H102),"◆","")</f>
        <v/>
      </c>
      <c r="AY102" s="49" t="str">
        <f aca="false">IF(AND(AY$2&lt;=$H102,(AY$2+6)&gt;=$H102),"◆","")</f>
        <v/>
      </c>
      <c r="AZ102" s="49" t="str">
        <f aca="false">IF(AND(AZ$2&lt;=$H102,(AZ$2+6)&gt;=$H102),"◆","")</f>
        <v/>
      </c>
      <c r="BA102" s="49" t="str">
        <f aca="false">IF(AND(BA$2&lt;=$H102,(BA$2+6)&gt;=$H102),"◆","")</f>
        <v/>
      </c>
      <c r="BB102" s="49" t="str">
        <f aca="false">IF(AND(BB$2&lt;=$H102,(BB$2+6)&gt;=$H102),"◆","")</f>
        <v/>
      </c>
      <c r="BC102" s="49" t="str">
        <f aca="false">IF(AND(BC$2&lt;=$H102,(BC$2+6)&gt;=$H102),"◆","")</f>
        <v/>
      </c>
      <c r="BD102" s="49" t="str">
        <f aca="false">IF(AND(BD$2&lt;=$H102,(BD$2+6)&gt;=$H102),"◆","")</f>
        <v/>
      </c>
      <c r="BE102" s="49" t="str">
        <f aca="false">IF(AND(BE$2&lt;=$H102,(BE$2+6)&gt;=$H102),"◆","")</f>
        <v/>
      </c>
      <c r="BF102" s="49" t="str">
        <f aca="false">IF(AND(BF$2&lt;=$H102,(BF$2+6)&gt;=$H102),"◆","")</f>
        <v/>
      </c>
      <c r="BG102" s="49" t="str">
        <f aca="false">IF(AND(BG$2&lt;=$H102,(BG$2+6)&gt;=$H102),"◆","")</f>
        <v/>
      </c>
      <c r="BH102" s="49" t="str">
        <f aca="false">IF(AND(BH$2&lt;=$H102,(BH$2+6)&gt;=$H102),"◆","")</f>
        <v/>
      </c>
      <c r="BI102" s="49" t="str">
        <f aca="false">IF(AND(BI$2&lt;=$H102,(BI$2+6)&gt;=$H102),"◆","")</f>
        <v/>
      </c>
      <c r="BJ102" s="49" t="str">
        <f aca="false">IF(AND(BJ$2&lt;=$H102,(BJ$2+6)&gt;=$H102),"◆","")</f>
        <v/>
      </c>
      <c r="BK102" s="49" t="str">
        <f aca="false">IF(AND(BK$2&lt;=$H102,(BK$2+6)&gt;=$H102),"◆","")</f>
        <v>◆</v>
      </c>
      <c r="BL102" s="49" t="str">
        <f aca="false">IF(AND(BL$2&lt;=$H102,(BL$2+6)&gt;=$H102),"◆","")</f>
        <v/>
      </c>
      <c r="BM102" s="49" t="str">
        <f aca="false">IF(AND(BM$2&lt;=$H102,(BM$2+6)&gt;=$H102),"◆","")</f>
        <v/>
      </c>
      <c r="BN102" s="49" t="str">
        <f aca="false">IF(AND(BN$2&lt;=$H102,(BN$2+6)&gt;=$H102),"◆","")</f>
        <v/>
      </c>
      <c r="BO102" s="49" t="str">
        <f aca="false">IF(AND(BO$2&lt;=$H102,(BO$2+6)&gt;=$H102),"◆","")</f>
        <v/>
      </c>
      <c r="BP102" s="49" t="str">
        <f aca="false">IF(AND(BP$2&lt;=$H102,(BP$2+6)&gt;=$H102),"◆","")</f>
        <v/>
      </c>
      <c r="BQ102" s="49" t="str">
        <f aca="false">IF(AND(BQ$2&lt;=$H102,(BQ$2+6)&gt;=$H102),"◆","")</f>
        <v/>
      </c>
      <c r="BR102" s="49" t="str">
        <f aca="false">IF(AND(BR$2&lt;=$H102,(BR$2+6)&gt;=$H102),"◆","")</f>
        <v/>
      </c>
      <c r="BS102" s="49" t="str">
        <f aca="false">IF(AND(BS$2&lt;=$H102,(BS$2+6)&gt;=$H102),"◆","")</f>
        <v/>
      </c>
      <c r="BT102" s="49" t="str">
        <f aca="false">IF(AND(BT$2&lt;=$H102,(BT$2+6)&gt;=$H102),"◆","")</f>
        <v/>
      </c>
      <c r="BU102" s="49" t="str">
        <f aca="false">IF(AND(BU$2&lt;=$H102,(BU$2+6)&gt;=$H102),"◆","")</f>
        <v/>
      </c>
      <c r="BV102" s="49" t="str">
        <f aca="false">IF(AND(BV$2&lt;=$H102,(BV$2+6)&gt;=$H102),"◆","")</f>
        <v/>
      </c>
      <c r="BW102" s="49" t="str">
        <f aca="false">IF(AND(BW$2&lt;=$H102,(BW$2+6)&gt;=$H102),"◆","")</f>
        <v/>
      </c>
      <c r="BX102" s="49" t="str">
        <f aca="false">IF(AND(BX$2&lt;=$H102,(BX$2+6)&gt;=$H102),"◆","")</f>
        <v/>
      </c>
      <c r="BY102" s="49" t="str">
        <f aca="false">IF(AND(BY$2&lt;=$H102,(BY$2+6)&gt;=$H102),"◆","")</f>
        <v/>
      </c>
      <c r="BZ102" s="49" t="str">
        <f aca="false">IF(AND(BZ$2&lt;=$H102,(BZ$2+6)&gt;=$H102),"◆","")</f>
        <v/>
      </c>
      <c r="CA102" s="49" t="str">
        <f aca="false">IF(AND(CA$2&lt;=$H102,(CA$2+6)&gt;=$H102),"◆","")</f>
        <v/>
      </c>
      <c r="CB102" s="49" t="str">
        <f aca="false">IF(AND(CB$2&lt;=$H102,(CB$2+6)&gt;=$H102),"◆","")</f>
        <v/>
      </c>
    </row>
    <row r="103" customFormat="false" ht="15" hidden="false" customHeight="false" outlineLevel="0" collapsed="false">
      <c r="A103" s="47" t="s">
        <v>492</v>
      </c>
      <c r="B103" s="47" t="str">
        <f aca="false">Milestones!A8</f>
        <v>الجاهزية للإطلاق (Go-Live Readiness)</v>
      </c>
      <c r="C103" s="47"/>
      <c r="D103" s="47"/>
      <c r="E103" s="47"/>
      <c r="F103" s="47" t="str">
        <f aca="false">Milestones!H8</f>
        <v>Critical</v>
      </c>
      <c r="G103" s="47"/>
      <c r="H103" s="48" t="n">
        <f aca="false">Milestones!C8</f>
        <v>46438</v>
      </c>
      <c r="I103" s="47"/>
      <c r="J103" s="47"/>
      <c r="K103" s="49" t="str">
        <f aca="false">IF(AND(K$2&lt;=$H103,(K$2+6)&gt;=$H103),"◆","")</f>
        <v/>
      </c>
      <c r="L103" s="49" t="str">
        <f aca="false">IF(AND(L$2&lt;=$H103,(L$2+6)&gt;=$H103),"◆","")</f>
        <v/>
      </c>
      <c r="M103" s="49" t="str">
        <f aca="false">IF(AND(M$2&lt;=$H103,(M$2+6)&gt;=$H103),"◆","")</f>
        <v/>
      </c>
      <c r="N103" s="49" t="str">
        <f aca="false">IF(AND(N$2&lt;=$H103,(N$2+6)&gt;=$H103),"◆","")</f>
        <v/>
      </c>
      <c r="O103" s="49" t="str">
        <f aca="false">IF(AND(O$2&lt;=$H103,(O$2+6)&gt;=$H103),"◆","")</f>
        <v/>
      </c>
      <c r="P103" s="49" t="str">
        <f aca="false">IF(AND(P$2&lt;=$H103,(P$2+6)&gt;=$H103),"◆","")</f>
        <v/>
      </c>
      <c r="Q103" s="49" t="str">
        <f aca="false">IF(AND(Q$2&lt;=$H103,(Q$2+6)&gt;=$H103),"◆","")</f>
        <v/>
      </c>
      <c r="R103" s="49" t="str">
        <f aca="false">IF(AND(R$2&lt;=$H103,(R$2+6)&gt;=$H103),"◆","")</f>
        <v/>
      </c>
      <c r="S103" s="49" t="str">
        <f aca="false">IF(AND(S$2&lt;=$H103,(S$2+6)&gt;=$H103),"◆","")</f>
        <v/>
      </c>
      <c r="T103" s="49" t="str">
        <f aca="false">IF(AND(T$2&lt;=$H103,(T$2+6)&gt;=$H103),"◆","")</f>
        <v/>
      </c>
      <c r="U103" s="49" t="str">
        <f aca="false">IF(AND(U$2&lt;=$H103,(U$2+6)&gt;=$H103),"◆","")</f>
        <v/>
      </c>
      <c r="V103" s="49" t="str">
        <f aca="false">IF(AND(V$2&lt;=$H103,(V$2+6)&gt;=$H103),"◆","")</f>
        <v/>
      </c>
      <c r="W103" s="49" t="str">
        <f aca="false">IF(AND(W$2&lt;=$H103,(W$2+6)&gt;=$H103),"◆","")</f>
        <v/>
      </c>
      <c r="X103" s="49" t="str">
        <f aca="false">IF(AND(X$2&lt;=$H103,(X$2+6)&gt;=$H103),"◆","")</f>
        <v/>
      </c>
      <c r="Y103" s="49" t="str">
        <f aca="false">IF(AND(Y$2&lt;=$H103,(Y$2+6)&gt;=$H103),"◆","")</f>
        <v/>
      </c>
      <c r="Z103" s="49" t="str">
        <f aca="false">IF(AND(Z$2&lt;=$H103,(Z$2+6)&gt;=$H103),"◆","")</f>
        <v/>
      </c>
      <c r="AA103" s="49" t="str">
        <f aca="false">IF(AND(AA$2&lt;=$H103,(AA$2+6)&gt;=$H103),"◆","")</f>
        <v/>
      </c>
      <c r="AB103" s="49" t="str">
        <f aca="false">IF(AND(AB$2&lt;=$H103,(AB$2+6)&gt;=$H103),"◆","")</f>
        <v/>
      </c>
      <c r="AC103" s="49" t="str">
        <f aca="false">IF(AND(AC$2&lt;=$H103,(AC$2+6)&gt;=$H103),"◆","")</f>
        <v/>
      </c>
      <c r="AD103" s="49" t="str">
        <f aca="false">IF(AND(AD$2&lt;=$H103,(AD$2+6)&gt;=$H103),"◆","")</f>
        <v/>
      </c>
      <c r="AE103" s="49" t="str">
        <f aca="false">IF(AND(AE$2&lt;=$H103,(AE$2+6)&gt;=$H103),"◆","")</f>
        <v/>
      </c>
      <c r="AF103" s="49" t="str">
        <f aca="false">IF(AND(AF$2&lt;=$H103,(AF$2+6)&gt;=$H103),"◆","")</f>
        <v/>
      </c>
      <c r="AG103" s="49" t="str">
        <f aca="false">IF(AND(AG$2&lt;=$H103,(AG$2+6)&gt;=$H103),"◆","")</f>
        <v/>
      </c>
      <c r="AH103" s="49" t="str">
        <f aca="false">IF(AND(AH$2&lt;=$H103,(AH$2+6)&gt;=$H103),"◆","")</f>
        <v/>
      </c>
      <c r="AI103" s="49" t="str">
        <f aca="false">IF(AND(AI$2&lt;=$H103,(AI$2+6)&gt;=$H103),"◆","")</f>
        <v/>
      </c>
      <c r="AJ103" s="49" t="str">
        <f aca="false">IF(AND(AJ$2&lt;=$H103,(AJ$2+6)&gt;=$H103),"◆","")</f>
        <v/>
      </c>
      <c r="AK103" s="49" t="str">
        <f aca="false">IF(AND(AK$2&lt;=$H103,(AK$2+6)&gt;=$H103),"◆","")</f>
        <v/>
      </c>
      <c r="AL103" s="49" t="str">
        <f aca="false">IF(AND(AL$2&lt;=$H103,(AL$2+6)&gt;=$H103),"◆","")</f>
        <v/>
      </c>
      <c r="AM103" s="49" t="str">
        <f aca="false">IF(AND(AM$2&lt;=$H103,(AM$2+6)&gt;=$H103),"◆","")</f>
        <v/>
      </c>
      <c r="AN103" s="49" t="str">
        <f aca="false">IF(AND(AN$2&lt;=$H103,(AN$2+6)&gt;=$H103),"◆","")</f>
        <v/>
      </c>
      <c r="AO103" s="49" t="str">
        <f aca="false">IF(AND(AO$2&lt;=$H103,(AO$2+6)&gt;=$H103),"◆","")</f>
        <v/>
      </c>
      <c r="AP103" s="49" t="str">
        <f aca="false">IF(AND(AP$2&lt;=$H103,(AP$2+6)&gt;=$H103),"◆","")</f>
        <v/>
      </c>
      <c r="AQ103" s="49" t="str">
        <f aca="false">IF(AND(AQ$2&lt;=$H103,(AQ$2+6)&gt;=$H103),"◆","")</f>
        <v/>
      </c>
      <c r="AR103" s="49" t="str">
        <f aca="false">IF(AND(AR$2&lt;=$H103,(AR$2+6)&gt;=$H103),"◆","")</f>
        <v/>
      </c>
      <c r="AS103" s="49" t="str">
        <f aca="false">IF(AND(AS$2&lt;=$H103,(AS$2+6)&gt;=$H103),"◆","")</f>
        <v/>
      </c>
      <c r="AT103" s="49" t="str">
        <f aca="false">IF(AND(AT$2&lt;=$H103,(AT$2+6)&gt;=$H103),"◆","")</f>
        <v/>
      </c>
      <c r="AU103" s="49" t="str">
        <f aca="false">IF(AND(AU$2&lt;=$H103,(AU$2+6)&gt;=$H103),"◆","")</f>
        <v/>
      </c>
      <c r="AV103" s="49" t="str">
        <f aca="false">IF(AND(AV$2&lt;=$H103,(AV$2+6)&gt;=$H103),"◆","")</f>
        <v/>
      </c>
      <c r="AW103" s="49" t="str">
        <f aca="false">IF(AND(AW$2&lt;=$H103,(AW$2+6)&gt;=$H103),"◆","")</f>
        <v/>
      </c>
      <c r="AX103" s="49" t="str">
        <f aca="false">IF(AND(AX$2&lt;=$H103,(AX$2+6)&gt;=$H103),"◆","")</f>
        <v/>
      </c>
      <c r="AY103" s="49" t="str">
        <f aca="false">IF(AND(AY$2&lt;=$H103,(AY$2+6)&gt;=$H103),"◆","")</f>
        <v/>
      </c>
      <c r="AZ103" s="49" t="str">
        <f aca="false">IF(AND(AZ$2&lt;=$H103,(AZ$2+6)&gt;=$H103),"◆","")</f>
        <v/>
      </c>
      <c r="BA103" s="49" t="str">
        <f aca="false">IF(AND(BA$2&lt;=$H103,(BA$2+6)&gt;=$H103),"◆","")</f>
        <v/>
      </c>
      <c r="BB103" s="49" t="str">
        <f aca="false">IF(AND(BB$2&lt;=$H103,(BB$2+6)&gt;=$H103),"◆","")</f>
        <v/>
      </c>
      <c r="BC103" s="49" t="str">
        <f aca="false">IF(AND(BC$2&lt;=$H103,(BC$2+6)&gt;=$H103),"◆","")</f>
        <v/>
      </c>
      <c r="BD103" s="49" t="str">
        <f aca="false">IF(AND(BD$2&lt;=$H103,(BD$2+6)&gt;=$H103),"◆","")</f>
        <v/>
      </c>
      <c r="BE103" s="49" t="str">
        <f aca="false">IF(AND(BE$2&lt;=$H103,(BE$2+6)&gt;=$H103),"◆","")</f>
        <v/>
      </c>
      <c r="BF103" s="49" t="str">
        <f aca="false">IF(AND(BF$2&lt;=$H103,(BF$2+6)&gt;=$H103),"◆","")</f>
        <v/>
      </c>
      <c r="BG103" s="49" t="str">
        <f aca="false">IF(AND(BG$2&lt;=$H103,(BG$2+6)&gt;=$H103),"◆","")</f>
        <v/>
      </c>
      <c r="BH103" s="49" t="str">
        <f aca="false">IF(AND(BH$2&lt;=$H103,(BH$2+6)&gt;=$H103),"◆","")</f>
        <v/>
      </c>
      <c r="BI103" s="49" t="str">
        <f aca="false">IF(AND(BI$2&lt;=$H103,(BI$2+6)&gt;=$H103),"◆","")</f>
        <v/>
      </c>
      <c r="BJ103" s="49" t="str">
        <f aca="false">IF(AND(BJ$2&lt;=$H103,(BJ$2+6)&gt;=$H103),"◆","")</f>
        <v/>
      </c>
      <c r="BK103" s="49" t="str">
        <f aca="false">IF(AND(BK$2&lt;=$H103,(BK$2+6)&gt;=$H103),"◆","")</f>
        <v/>
      </c>
      <c r="BL103" s="49" t="str">
        <f aca="false">IF(AND(BL$2&lt;=$H103,(BL$2+6)&gt;=$H103),"◆","")</f>
        <v/>
      </c>
      <c r="BM103" s="49" t="str">
        <f aca="false">IF(AND(BM$2&lt;=$H103,(BM$2+6)&gt;=$H103),"◆","")</f>
        <v/>
      </c>
      <c r="BN103" s="49" t="str">
        <f aca="false">IF(AND(BN$2&lt;=$H103,(BN$2+6)&gt;=$H103),"◆","")</f>
        <v/>
      </c>
      <c r="BO103" s="49" t="str">
        <f aca="false">IF(AND(BO$2&lt;=$H103,(BO$2+6)&gt;=$H103),"◆","")</f>
        <v/>
      </c>
      <c r="BP103" s="49" t="str">
        <f aca="false">IF(AND(BP$2&lt;=$H103,(BP$2+6)&gt;=$H103),"◆","")</f>
        <v/>
      </c>
      <c r="BQ103" s="49" t="str">
        <f aca="false">IF(AND(BQ$2&lt;=$H103,(BQ$2+6)&gt;=$H103),"◆","")</f>
        <v>◆</v>
      </c>
      <c r="BR103" s="49" t="str">
        <f aca="false">IF(AND(BR$2&lt;=$H103,(BR$2+6)&gt;=$H103),"◆","")</f>
        <v/>
      </c>
      <c r="BS103" s="49" t="str">
        <f aca="false">IF(AND(BS$2&lt;=$H103,(BS$2+6)&gt;=$H103),"◆","")</f>
        <v/>
      </c>
      <c r="BT103" s="49" t="str">
        <f aca="false">IF(AND(BT$2&lt;=$H103,(BT$2+6)&gt;=$H103),"◆","")</f>
        <v/>
      </c>
      <c r="BU103" s="49" t="str">
        <f aca="false">IF(AND(BU$2&lt;=$H103,(BU$2+6)&gt;=$H103),"◆","")</f>
        <v/>
      </c>
      <c r="BV103" s="49" t="str">
        <f aca="false">IF(AND(BV$2&lt;=$H103,(BV$2+6)&gt;=$H103),"◆","")</f>
        <v/>
      </c>
      <c r="BW103" s="49" t="str">
        <f aca="false">IF(AND(BW$2&lt;=$H103,(BW$2+6)&gt;=$H103),"◆","")</f>
        <v/>
      </c>
      <c r="BX103" s="49" t="str">
        <f aca="false">IF(AND(BX$2&lt;=$H103,(BX$2+6)&gt;=$H103),"◆","")</f>
        <v/>
      </c>
      <c r="BY103" s="49" t="str">
        <f aca="false">IF(AND(BY$2&lt;=$H103,(BY$2+6)&gt;=$H103),"◆","")</f>
        <v/>
      </c>
      <c r="BZ103" s="49" t="str">
        <f aca="false">IF(AND(BZ$2&lt;=$H103,(BZ$2+6)&gt;=$H103),"◆","")</f>
        <v/>
      </c>
      <c r="CA103" s="49" t="str">
        <f aca="false">IF(AND(CA$2&lt;=$H103,(CA$2+6)&gt;=$H103),"◆","")</f>
        <v/>
      </c>
      <c r="CB103" s="49" t="str">
        <f aca="false">IF(AND(CB$2&lt;=$H103,(CB$2+6)&gt;=$H103),"◆","")</f>
        <v/>
      </c>
    </row>
    <row r="104" customFormat="false" ht="15" hidden="false" customHeight="false" outlineLevel="0" collapsed="false">
      <c r="A104" s="47" t="s">
        <v>493</v>
      </c>
      <c r="B104" s="47" t="str">
        <f aca="false">Milestones!A9</f>
        <v>الإطلاق الرسمي للتطبيق</v>
      </c>
      <c r="C104" s="47"/>
      <c r="D104" s="47"/>
      <c r="E104" s="47"/>
      <c r="F104" s="47" t="str">
        <f aca="false">Milestones!H9</f>
        <v>Critical</v>
      </c>
      <c r="G104" s="47"/>
      <c r="H104" s="48" t="n">
        <f aca="false">Milestones!C9</f>
        <v>46451</v>
      </c>
      <c r="I104" s="47"/>
      <c r="J104" s="47"/>
      <c r="K104" s="49" t="str">
        <f aca="false">IF(AND(K$2&lt;=$H104,(K$2+6)&gt;=$H104),"◆","")</f>
        <v/>
      </c>
      <c r="L104" s="49" t="str">
        <f aca="false">IF(AND(L$2&lt;=$H104,(L$2+6)&gt;=$H104),"◆","")</f>
        <v/>
      </c>
      <c r="M104" s="49" t="str">
        <f aca="false">IF(AND(M$2&lt;=$H104,(M$2+6)&gt;=$H104),"◆","")</f>
        <v/>
      </c>
      <c r="N104" s="49" t="str">
        <f aca="false">IF(AND(N$2&lt;=$H104,(N$2+6)&gt;=$H104),"◆","")</f>
        <v/>
      </c>
      <c r="O104" s="49" t="str">
        <f aca="false">IF(AND(O$2&lt;=$H104,(O$2+6)&gt;=$H104),"◆","")</f>
        <v/>
      </c>
      <c r="P104" s="49" t="str">
        <f aca="false">IF(AND(P$2&lt;=$H104,(P$2+6)&gt;=$H104),"◆","")</f>
        <v/>
      </c>
      <c r="Q104" s="49" t="str">
        <f aca="false">IF(AND(Q$2&lt;=$H104,(Q$2+6)&gt;=$H104),"◆","")</f>
        <v/>
      </c>
      <c r="R104" s="49" t="str">
        <f aca="false">IF(AND(R$2&lt;=$H104,(R$2+6)&gt;=$H104),"◆","")</f>
        <v/>
      </c>
      <c r="S104" s="49" t="str">
        <f aca="false">IF(AND(S$2&lt;=$H104,(S$2+6)&gt;=$H104),"◆","")</f>
        <v/>
      </c>
      <c r="T104" s="49" t="str">
        <f aca="false">IF(AND(T$2&lt;=$H104,(T$2+6)&gt;=$H104),"◆","")</f>
        <v/>
      </c>
      <c r="U104" s="49" t="str">
        <f aca="false">IF(AND(U$2&lt;=$H104,(U$2+6)&gt;=$H104),"◆","")</f>
        <v/>
      </c>
      <c r="V104" s="49" t="str">
        <f aca="false">IF(AND(V$2&lt;=$H104,(V$2+6)&gt;=$H104),"◆","")</f>
        <v/>
      </c>
      <c r="W104" s="49" t="str">
        <f aca="false">IF(AND(W$2&lt;=$H104,(W$2+6)&gt;=$H104),"◆","")</f>
        <v/>
      </c>
      <c r="X104" s="49" t="str">
        <f aca="false">IF(AND(X$2&lt;=$H104,(X$2+6)&gt;=$H104),"◆","")</f>
        <v/>
      </c>
      <c r="Y104" s="49" t="str">
        <f aca="false">IF(AND(Y$2&lt;=$H104,(Y$2+6)&gt;=$H104),"◆","")</f>
        <v/>
      </c>
      <c r="Z104" s="49" t="str">
        <f aca="false">IF(AND(Z$2&lt;=$H104,(Z$2+6)&gt;=$H104),"◆","")</f>
        <v/>
      </c>
      <c r="AA104" s="49" t="str">
        <f aca="false">IF(AND(AA$2&lt;=$H104,(AA$2+6)&gt;=$H104),"◆","")</f>
        <v/>
      </c>
      <c r="AB104" s="49" t="str">
        <f aca="false">IF(AND(AB$2&lt;=$H104,(AB$2+6)&gt;=$H104),"◆","")</f>
        <v/>
      </c>
      <c r="AC104" s="49" t="str">
        <f aca="false">IF(AND(AC$2&lt;=$H104,(AC$2+6)&gt;=$H104),"◆","")</f>
        <v/>
      </c>
      <c r="AD104" s="49" t="str">
        <f aca="false">IF(AND(AD$2&lt;=$H104,(AD$2+6)&gt;=$H104),"◆","")</f>
        <v/>
      </c>
      <c r="AE104" s="49" t="str">
        <f aca="false">IF(AND(AE$2&lt;=$H104,(AE$2+6)&gt;=$H104),"◆","")</f>
        <v/>
      </c>
      <c r="AF104" s="49" t="str">
        <f aca="false">IF(AND(AF$2&lt;=$H104,(AF$2+6)&gt;=$H104),"◆","")</f>
        <v/>
      </c>
      <c r="AG104" s="49" t="str">
        <f aca="false">IF(AND(AG$2&lt;=$H104,(AG$2+6)&gt;=$H104),"◆","")</f>
        <v/>
      </c>
      <c r="AH104" s="49" t="str">
        <f aca="false">IF(AND(AH$2&lt;=$H104,(AH$2+6)&gt;=$H104),"◆","")</f>
        <v/>
      </c>
      <c r="AI104" s="49" t="str">
        <f aca="false">IF(AND(AI$2&lt;=$H104,(AI$2+6)&gt;=$H104),"◆","")</f>
        <v/>
      </c>
      <c r="AJ104" s="49" t="str">
        <f aca="false">IF(AND(AJ$2&lt;=$H104,(AJ$2+6)&gt;=$H104),"◆","")</f>
        <v/>
      </c>
      <c r="AK104" s="49" t="str">
        <f aca="false">IF(AND(AK$2&lt;=$H104,(AK$2+6)&gt;=$H104),"◆","")</f>
        <v/>
      </c>
      <c r="AL104" s="49" t="str">
        <f aca="false">IF(AND(AL$2&lt;=$H104,(AL$2+6)&gt;=$H104),"◆","")</f>
        <v/>
      </c>
      <c r="AM104" s="49" t="str">
        <f aca="false">IF(AND(AM$2&lt;=$H104,(AM$2+6)&gt;=$H104),"◆","")</f>
        <v/>
      </c>
      <c r="AN104" s="49" t="str">
        <f aca="false">IF(AND(AN$2&lt;=$H104,(AN$2+6)&gt;=$H104),"◆","")</f>
        <v/>
      </c>
      <c r="AO104" s="49" t="str">
        <f aca="false">IF(AND(AO$2&lt;=$H104,(AO$2+6)&gt;=$H104),"◆","")</f>
        <v/>
      </c>
      <c r="AP104" s="49" t="str">
        <f aca="false">IF(AND(AP$2&lt;=$H104,(AP$2+6)&gt;=$H104),"◆","")</f>
        <v/>
      </c>
      <c r="AQ104" s="49" t="str">
        <f aca="false">IF(AND(AQ$2&lt;=$H104,(AQ$2+6)&gt;=$H104),"◆","")</f>
        <v/>
      </c>
      <c r="AR104" s="49" t="str">
        <f aca="false">IF(AND(AR$2&lt;=$H104,(AR$2+6)&gt;=$H104),"◆","")</f>
        <v/>
      </c>
      <c r="AS104" s="49" t="str">
        <f aca="false">IF(AND(AS$2&lt;=$H104,(AS$2+6)&gt;=$H104),"◆","")</f>
        <v/>
      </c>
      <c r="AT104" s="49" t="str">
        <f aca="false">IF(AND(AT$2&lt;=$H104,(AT$2+6)&gt;=$H104),"◆","")</f>
        <v/>
      </c>
      <c r="AU104" s="49" t="str">
        <f aca="false">IF(AND(AU$2&lt;=$H104,(AU$2+6)&gt;=$H104),"◆","")</f>
        <v/>
      </c>
      <c r="AV104" s="49" t="str">
        <f aca="false">IF(AND(AV$2&lt;=$H104,(AV$2+6)&gt;=$H104),"◆","")</f>
        <v/>
      </c>
      <c r="AW104" s="49" t="str">
        <f aca="false">IF(AND(AW$2&lt;=$H104,(AW$2+6)&gt;=$H104),"◆","")</f>
        <v/>
      </c>
      <c r="AX104" s="49" t="str">
        <f aca="false">IF(AND(AX$2&lt;=$H104,(AX$2+6)&gt;=$H104),"◆","")</f>
        <v/>
      </c>
      <c r="AY104" s="49" t="str">
        <f aca="false">IF(AND(AY$2&lt;=$H104,(AY$2+6)&gt;=$H104),"◆","")</f>
        <v/>
      </c>
      <c r="AZ104" s="49" t="str">
        <f aca="false">IF(AND(AZ$2&lt;=$H104,(AZ$2+6)&gt;=$H104),"◆","")</f>
        <v/>
      </c>
      <c r="BA104" s="49" t="str">
        <f aca="false">IF(AND(BA$2&lt;=$H104,(BA$2+6)&gt;=$H104),"◆","")</f>
        <v/>
      </c>
      <c r="BB104" s="49" t="str">
        <f aca="false">IF(AND(BB$2&lt;=$H104,(BB$2+6)&gt;=$H104),"◆","")</f>
        <v/>
      </c>
      <c r="BC104" s="49" t="str">
        <f aca="false">IF(AND(BC$2&lt;=$H104,(BC$2+6)&gt;=$H104),"◆","")</f>
        <v/>
      </c>
      <c r="BD104" s="49" t="str">
        <f aca="false">IF(AND(BD$2&lt;=$H104,(BD$2+6)&gt;=$H104),"◆","")</f>
        <v/>
      </c>
      <c r="BE104" s="49" t="str">
        <f aca="false">IF(AND(BE$2&lt;=$H104,(BE$2+6)&gt;=$H104),"◆","")</f>
        <v/>
      </c>
      <c r="BF104" s="49" t="str">
        <f aca="false">IF(AND(BF$2&lt;=$H104,(BF$2+6)&gt;=$H104),"◆","")</f>
        <v/>
      </c>
      <c r="BG104" s="49" t="str">
        <f aca="false">IF(AND(BG$2&lt;=$H104,(BG$2+6)&gt;=$H104),"◆","")</f>
        <v/>
      </c>
      <c r="BH104" s="49" t="str">
        <f aca="false">IF(AND(BH$2&lt;=$H104,(BH$2+6)&gt;=$H104),"◆","")</f>
        <v/>
      </c>
      <c r="BI104" s="49" t="str">
        <f aca="false">IF(AND(BI$2&lt;=$H104,(BI$2+6)&gt;=$H104),"◆","")</f>
        <v/>
      </c>
      <c r="BJ104" s="49" t="str">
        <f aca="false">IF(AND(BJ$2&lt;=$H104,(BJ$2+6)&gt;=$H104),"◆","")</f>
        <v/>
      </c>
      <c r="BK104" s="49" t="str">
        <f aca="false">IF(AND(BK$2&lt;=$H104,(BK$2+6)&gt;=$H104),"◆","")</f>
        <v/>
      </c>
      <c r="BL104" s="49" t="str">
        <f aca="false">IF(AND(BL$2&lt;=$H104,(BL$2+6)&gt;=$H104),"◆","")</f>
        <v/>
      </c>
      <c r="BM104" s="49" t="str">
        <f aca="false">IF(AND(BM$2&lt;=$H104,(BM$2+6)&gt;=$H104),"◆","")</f>
        <v/>
      </c>
      <c r="BN104" s="49" t="str">
        <f aca="false">IF(AND(BN$2&lt;=$H104,(BN$2+6)&gt;=$H104),"◆","")</f>
        <v/>
      </c>
      <c r="BO104" s="49" t="str">
        <f aca="false">IF(AND(BO$2&lt;=$H104,(BO$2+6)&gt;=$H104),"◆","")</f>
        <v/>
      </c>
      <c r="BP104" s="49" t="str">
        <f aca="false">IF(AND(BP$2&lt;=$H104,(BP$2+6)&gt;=$H104),"◆","")</f>
        <v/>
      </c>
      <c r="BQ104" s="49" t="str">
        <f aca="false">IF(AND(BQ$2&lt;=$H104,(BQ$2+6)&gt;=$H104),"◆","")</f>
        <v/>
      </c>
      <c r="BR104" s="49" t="str">
        <f aca="false">IF(AND(BR$2&lt;=$H104,(BR$2+6)&gt;=$H104),"◆","")</f>
        <v/>
      </c>
      <c r="BS104" s="49" t="str">
        <f aca="false">IF(AND(BS$2&lt;=$H104,(BS$2+6)&gt;=$H104),"◆","")</f>
        <v>◆</v>
      </c>
      <c r="BT104" s="49" t="str">
        <f aca="false">IF(AND(BT$2&lt;=$H104,(BT$2+6)&gt;=$H104),"◆","")</f>
        <v/>
      </c>
      <c r="BU104" s="49" t="str">
        <f aca="false">IF(AND(BU$2&lt;=$H104,(BU$2+6)&gt;=$H104),"◆","")</f>
        <v/>
      </c>
      <c r="BV104" s="49" t="str">
        <f aca="false">IF(AND(BV$2&lt;=$H104,(BV$2+6)&gt;=$H104),"◆","")</f>
        <v/>
      </c>
      <c r="BW104" s="49" t="str">
        <f aca="false">IF(AND(BW$2&lt;=$H104,(BW$2+6)&gt;=$H104),"◆","")</f>
        <v/>
      </c>
      <c r="BX104" s="49" t="str">
        <f aca="false">IF(AND(BX$2&lt;=$H104,(BX$2+6)&gt;=$H104),"◆","")</f>
        <v/>
      </c>
      <c r="BY104" s="49" t="str">
        <f aca="false">IF(AND(BY$2&lt;=$H104,(BY$2+6)&gt;=$H104),"◆","")</f>
        <v/>
      </c>
      <c r="BZ104" s="49" t="str">
        <f aca="false">IF(AND(BZ$2&lt;=$H104,(BZ$2+6)&gt;=$H104),"◆","")</f>
        <v/>
      </c>
      <c r="CA104" s="49" t="str">
        <f aca="false">IF(AND(CA$2&lt;=$H104,(CA$2+6)&gt;=$H104),"◆","")</f>
        <v/>
      </c>
      <c r="CB104" s="49" t="str">
        <f aca="false">IF(AND(CB$2&lt;=$H104,(CB$2+6)&gt;=$H104),"◆","")</f>
        <v/>
      </c>
    </row>
  </sheetData>
  <mergeCells count="18">
    <mergeCell ref="A1:J2"/>
    <mergeCell ref="K1:N1"/>
    <mergeCell ref="O1:R1"/>
    <mergeCell ref="S1:W1"/>
    <mergeCell ref="X1:AA1"/>
    <mergeCell ref="AB1:AE1"/>
    <mergeCell ref="AF1:AJ1"/>
    <mergeCell ref="AK1:AN1"/>
    <mergeCell ref="AO1:AS1"/>
    <mergeCell ref="AT1:AW1"/>
    <mergeCell ref="AX1:BA1"/>
    <mergeCell ref="BB1:BF1"/>
    <mergeCell ref="BG1:BJ1"/>
    <mergeCell ref="BK1:BN1"/>
    <mergeCell ref="BO1:BR1"/>
    <mergeCell ref="BS1:BW1"/>
    <mergeCell ref="BX1:CA1"/>
    <mergeCell ref="A95:J95"/>
  </mergeCells>
  <conditionalFormatting sqref="K4:CB93">
    <cfRule type="expression" priority="2" aboveAverage="0" equalAverage="0" bottom="0" percent="0" rank="0" text="" dxfId="25">
      <formula>AND(K$2&lt;=$I4,(K$2+6)&gt;=$H4,$E4="Completed")</formula>
    </cfRule>
    <cfRule type="expression" priority="3" aboveAverage="0" equalAverage="0" bottom="0" percent="0" rank="0" text="" dxfId="26">
      <formula>AND(K$2&lt;=$I4,(K$2+6)&gt;=$H4,$E4="Cancelled")</formula>
    </cfRule>
    <cfRule type="expression" priority="4" aboveAverage="0" equalAverage="0" bottom="0" percent="0" rank="0" text="" dxfId="27">
      <formula>AND(K$2&lt;=$I4,(K$2+6)&gt;=$H4,$E4="Blocked")</formula>
    </cfRule>
    <cfRule type="expression" priority="5" aboveAverage="0" equalAverage="0" bottom="0" percent="0" rank="0" text="" dxfId="28">
      <formula>AND(K$2&lt;=$I4,(K$2+6)&gt;=$H4,OR($F4="Critical",$G4="Critical"))</formula>
    </cfRule>
    <cfRule type="expression" priority="6" aboveAverage="0" equalAverage="0" bottom="0" percent="0" rank="0" text="" dxfId="29">
      <formula>AND(K$2&lt;=$I4,(K$2+6)&gt;=$H4,1)</formula>
    </cfRule>
  </conditionalFormatting>
  <conditionalFormatting sqref="K1:CB3">
    <cfRule type="expression" priority="7" aboveAverage="0" equalAverage="0" bottom="0" percent="0" rank="0" text="" dxfId="30">
      <formula>AND(K$2&lt;=TODAY(),(K$2+6)&gt;=TODAY())</formula>
    </cfRule>
  </conditionalFormatting>
  <conditionalFormatting sqref="K97:CB104">
    <cfRule type="cellIs" priority="8" operator="equal" aboveAverage="0" equalAverage="0" bottom="0" percent="0" rank="0" text="" dxfId="31">
      <formula>"◆"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34"/>
    <col collapsed="false" customWidth="true" hidden="false" outlineLevel="0" max="8" min="8" style="0" width="10"/>
    <col collapsed="false" customWidth="true" hidden="true" outlineLevel="0" max="9" min="9" style="0" width="4"/>
    <col collapsed="false" customWidth="true" hidden="true" outlineLevel="0" max="10" min="10" style="0" width="13"/>
  </cols>
  <sheetData>
    <row r="1" customFormat="false" ht="21.75" hidden="false" customHeight="true" outlineLevel="0" collapsed="false">
      <c r="A1" s="36" t="s">
        <v>484</v>
      </c>
      <c r="B1" s="36" t="s">
        <v>64</v>
      </c>
      <c r="C1" s="36" t="s">
        <v>494</v>
      </c>
      <c r="D1" s="36" t="s">
        <v>68</v>
      </c>
      <c r="E1" s="36" t="s">
        <v>66</v>
      </c>
      <c r="F1" s="36" t="s">
        <v>495</v>
      </c>
      <c r="G1" s="36" t="s">
        <v>496</v>
      </c>
      <c r="H1" s="36" t="s">
        <v>65</v>
      </c>
      <c r="I1" s="36" t="s">
        <v>497</v>
      </c>
      <c r="J1" s="3" t="s">
        <v>498</v>
      </c>
    </row>
    <row r="2" customFormat="false" ht="15" hidden="false" customHeight="false" outlineLevel="0" collapsed="false">
      <c r="A2" s="0" t="s">
        <v>499</v>
      </c>
      <c r="B2" s="0" t="s">
        <v>500</v>
      </c>
      <c r="C2" s="38" t="n">
        <v>46042</v>
      </c>
      <c r="D2" s="0" t="str">
        <f aca="true">_xlfn.IFS($F2&gt;=1,"Completed",$F2&gt;0,"In Progress",$C2&lt;TODAY(),"Delayed",TRUE(),"Not Started")</f>
        <v>Completed</v>
      </c>
      <c r="E2" s="3" t="s">
        <v>91</v>
      </c>
      <c r="F2" s="37" t="n">
        <v>1</v>
      </c>
      <c r="G2" s="3" t="s">
        <v>501</v>
      </c>
      <c r="H2" s="0" t="s">
        <v>201</v>
      </c>
      <c r="J2" s="0" t="str">
        <f aca="true">IF(AND($D2&lt;&gt;"Completed",$C2&lt;=TODAY()+30),ROW(),"")</f>
        <v/>
      </c>
    </row>
    <row r="3" customFormat="false" ht="15" hidden="false" customHeight="false" outlineLevel="0" collapsed="false">
      <c r="A3" s="0" t="s">
        <v>502</v>
      </c>
      <c r="B3" s="0" t="s">
        <v>503</v>
      </c>
      <c r="C3" s="38" t="n">
        <v>46106</v>
      </c>
      <c r="D3" s="0" t="str">
        <f aca="true">_xlfn.IFS($F3&gt;=1,"Completed",$F3&gt;0,"In Progress",$C3&lt;TODAY(),"Delayed",TRUE(),"Not Started")</f>
        <v>Completed</v>
      </c>
      <c r="E3" s="3" t="s">
        <v>120</v>
      </c>
      <c r="F3" s="37" t="n">
        <f aca="false">IFERROR(AVERAGEIFS('Master Task List'!$J:$J,'Master Task List'!$B:$B,$I3),0)</f>
        <v>1</v>
      </c>
      <c r="G3" s="3" t="s">
        <v>116</v>
      </c>
      <c r="H3" s="0" t="s">
        <v>175</v>
      </c>
      <c r="I3" s="3" t="s">
        <v>116</v>
      </c>
      <c r="J3" s="0" t="str">
        <f aca="true">IF(AND($D3&lt;&gt;"Completed",$C3&lt;=TODAY()+30),ROW(),"")</f>
        <v/>
      </c>
    </row>
    <row r="4" customFormat="false" ht="15" hidden="false" customHeight="false" outlineLevel="0" collapsed="false">
      <c r="A4" s="0" t="s">
        <v>504</v>
      </c>
      <c r="B4" s="0" t="s">
        <v>505</v>
      </c>
      <c r="C4" s="38" t="n">
        <v>46249</v>
      </c>
      <c r="D4" s="0" t="str">
        <f aca="true">_xlfn.IFS($F4&gt;=1,"Completed",$F4&gt;0,"In Progress",$C4&lt;TODAY(),"Delayed",TRUE(),"Not Started")</f>
        <v>In Progress</v>
      </c>
      <c r="E4" s="3" t="s">
        <v>148</v>
      </c>
      <c r="F4" s="37" t="n">
        <f aca="false">IFERROR(AVERAGEIFS('Master Task List'!$J:$J,'Master Task List'!$B:$B,$I4),0)</f>
        <v>0.683333333333333</v>
      </c>
      <c r="G4" s="3" t="s">
        <v>506</v>
      </c>
      <c r="H4" s="0" t="s">
        <v>201</v>
      </c>
      <c r="I4" s="3" t="s">
        <v>144</v>
      </c>
      <c r="J4" s="3" t="n">
        <f aca="true">IF(AND($D4&lt;&gt;"Completed",$C4&lt;=TODAY()+30),ROW(),"")</f>
        <v>4</v>
      </c>
    </row>
    <row r="5" customFormat="false" ht="15" hidden="false" customHeight="false" outlineLevel="0" collapsed="false">
      <c r="A5" s="0" t="s">
        <v>507</v>
      </c>
      <c r="B5" s="0" t="s">
        <v>508</v>
      </c>
      <c r="C5" s="38" t="n">
        <v>46295</v>
      </c>
      <c r="D5" s="0" t="str">
        <f aca="true">_xlfn.IFS($F5&gt;=1,"Completed",$F5&gt;0,"In Progress",$C5&lt;TODAY(),"Delayed",TRUE(),"Not Started")</f>
        <v>In Progress</v>
      </c>
      <c r="E5" s="3" t="s">
        <v>176</v>
      </c>
      <c r="F5" s="37" t="n">
        <f aca="false">IFERROR(AVERAGEIFS('Master Task List'!$J:$J,'Master Task List'!$B:$B,$I5),0)</f>
        <v>0.683333333333333</v>
      </c>
      <c r="G5" s="3" t="s">
        <v>509</v>
      </c>
      <c r="H5" s="0" t="s">
        <v>201</v>
      </c>
      <c r="I5" s="3" t="s">
        <v>197</v>
      </c>
      <c r="J5" s="0" t="str">
        <f aca="true">IF(AND($D5&lt;&gt;"Completed",$C5&lt;=TODAY()+30),ROW(),"")</f>
        <v/>
      </c>
    </row>
    <row r="6" customFormat="false" ht="15" hidden="false" customHeight="false" outlineLevel="0" collapsed="false">
      <c r="A6" s="0" t="s">
        <v>510</v>
      </c>
      <c r="B6" s="0" t="s">
        <v>511</v>
      </c>
      <c r="C6" s="38" t="n">
        <v>46341</v>
      </c>
      <c r="D6" s="0" t="str">
        <f aca="true">_xlfn.IFS($F6&gt;=1,"Completed",$F6&gt;0,"In Progress",$C6&lt;TODAY(),"Delayed",TRUE(),"Not Started")</f>
        <v>In Progress</v>
      </c>
      <c r="E6" s="3" t="s">
        <v>438</v>
      </c>
      <c r="F6" s="37" t="n">
        <f aca="false">IFERROR(AVERAGEIFS('Master Task List'!$J:$J,'Master Task List'!$B:$B,$I6),0)</f>
        <v>0.333333333333333</v>
      </c>
      <c r="G6" s="3" t="s">
        <v>512</v>
      </c>
      <c r="H6" s="0" t="s">
        <v>175</v>
      </c>
      <c r="I6" s="3" t="s">
        <v>209</v>
      </c>
      <c r="J6" s="0" t="str">
        <f aca="true">IF(AND($D6&lt;&gt;"Completed",$C6&lt;=TODAY()+30),ROW(),"")</f>
        <v/>
      </c>
    </row>
    <row r="7" customFormat="false" ht="15" hidden="false" customHeight="false" outlineLevel="0" collapsed="false">
      <c r="A7" s="0" t="s">
        <v>513</v>
      </c>
      <c r="B7" s="0" t="s">
        <v>514</v>
      </c>
      <c r="C7" s="38" t="n">
        <v>46397</v>
      </c>
      <c r="D7" s="0" t="str">
        <f aca="true">_xlfn.IFS($F7&gt;=1,"Completed",$F7&gt;0,"In Progress",$C7&lt;TODAY(),"Delayed",TRUE(),"Not Started")</f>
        <v>In Progress</v>
      </c>
      <c r="E7" s="3" t="s">
        <v>355</v>
      </c>
      <c r="F7" s="37" t="n">
        <f aca="false">IFERROR(AVERAGEIFS('Master Task List'!$J:$J,'Master Task List'!$B:$B,$I7),0)</f>
        <v>0.283333333333333</v>
      </c>
      <c r="G7" s="3" t="s">
        <v>515</v>
      </c>
      <c r="H7" s="0" t="s">
        <v>201</v>
      </c>
      <c r="I7" s="3" t="s">
        <v>351</v>
      </c>
      <c r="J7" s="0" t="str">
        <f aca="true">IF(AND($D7&lt;&gt;"Completed",$C7&lt;=TODAY()+30),ROW(),"")</f>
        <v/>
      </c>
    </row>
    <row r="8" customFormat="false" ht="15" hidden="false" customHeight="false" outlineLevel="0" collapsed="false">
      <c r="A8" s="0" t="s">
        <v>516</v>
      </c>
      <c r="B8" s="0" t="s">
        <v>517</v>
      </c>
      <c r="C8" s="38" t="n">
        <v>46438</v>
      </c>
      <c r="D8" s="0" t="str">
        <f aca="true">_xlfn.IFS($F8&gt;=1,"Completed",$F8&gt;0,"In Progress",$C8&lt;TODAY(),"Delayed",TRUE(),"Not Started")</f>
        <v>Not Started</v>
      </c>
      <c r="E8" s="3" t="s">
        <v>91</v>
      </c>
      <c r="F8" s="37" t="n">
        <f aca="false">IFERROR(AVERAGEIFS('Master Task List'!$J:$J,'Master Task List'!$B:$B,$I8),0)</f>
        <v>0</v>
      </c>
      <c r="G8" s="3" t="s">
        <v>518</v>
      </c>
      <c r="H8" s="0" t="s">
        <v>201</v>
      </c>
      <c r="I8" s="3" t="s">
        <v>386</v>
      </c>
      <c r="J8" s="0" t="str">
        <f aca="true">IF(AND($D8&lt;&gt;"Completed",$C8&lt;=TODAY()+30),ROW(),"")</f>
        <v/>
      </c>
    </row>
    <row r="9" customFormat="false" ht="15" hidden="false" customHeight="false" outlineLevel="0" collapsed="false">
      <c r="A9" s="0" t="s">
        <v>519</v>
      </c>
      <c r="B9" s="0" t="s">
        <v>520</v>
      </c>
      <c r="C9" s="38" t="n">
        <v>46451</v>
      </c>
      <c r="D9" s="0" t="str">
        <f aca="true">_xlfn.IFS($F9&gt;=1,"Completed",$F9&gt;0,"In Progress",$C9&lt;TODAY(),"Delayed",TRUE(),"Not Started")</f>
        <v>Not Started</v>
      </c>
      <c r="E9" s="3" t="s">
        <v>438</v>
      </c>
      <c r="F9" s="37" t="n">
        <f aca="false">IFERROR(AVERAGEIFS('Master Task List'!$J:$J,'Master Task List'!$B:$B,$I9),0)</f>
        <v>0</v>
      </c>
      <c r="G9" s="3" t="s">
        <v>434</v>
      </c>
      <c r="H9" s="0" t="s">
        <v>201</v>
      </c>
      <c r="I9" s="3" t="s">
        <v>434</v>
      </c>
      <c r="J9" s="0" t="str">
        <f aca="true">IF(AND($D9&lt;&gt;"Completed",$C9&lt;=TODAY()+30),ROW(),"")</f>
        <v/>
      </c>
    </row>
  </sheetData>
  <conditionalFormatting sqref="D2:D9">
    <cfRule type="cellIs" priority="2" operator="equal" aboveAverage="0" equalAverage="0" bottom="0" percent="0" rank="0" text="" dxfId="16">
      <formula>"Completed"</formula>
    </cfRule>
    <cfRule type="cellIs" priority="3" operator="equal" aboveAverage="0" equalAverage="0" bottom="0" percent="0" rank="0" text="" dxfId="17">
      <formula>"In Progress"</formula>
    </cfRule>
    <cfRule type="cellIs" priority="4" operator="equal" aboveAverage="0" equalAverage="0" bottom="0" percent="0" rank="0" text="" dxfId="20">
      <formula>"Not Started"</formula>
    </cfRule>
    <cfRule type="cellIs" priority="5" operator="equal" aboveAverage="0" equalAverage="0" bottom="0" percent="0" rank="0" text="" dxfId="19">
      <formula>"Delayed"</formula>
    </cfRule>
  </conditionalFormatting>
  <conditionalFormatting sqref="H2:H9">
    <cfRule type="cellIs" priority="6" operator="equal" aboveAverage="0" equalAverage="0" bottom="0" percent="0" rank="0" text="" dxfId="22">
      <formula>"Critical"</formula>
    </cfRule>
  </conditionalFormatting>
  <conditionalFormatting sqref="F2:F9">
    <cfRule type="dataBar" priority="7">
      <dataBar showValue="1" minLength="10" maxLength="90">
        <cfvo type="num" val="0"/>
        <cfvo type="num" val="1"/>
        <color rgb="FF2CA58D"/>
      </dataBar>
      <extLst>
        <ext xmlns:x14="http://schemas.microsoft.com/office/spreadsheetml/2009/9/main" uri="{B025F937-C7B1-47D3-B67F-A62EFF666E3E}">
          <x14:id>{9E659EC7-9FA2-47C2-A479-4629BDBC7A92}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E659EC7-9FA2-47C2-A479-4629BDBC7A9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CA58D"/>
              <x14:axisColor rgb="FF000000"/>
            </x14:dataBar>
          </x14:cfRule>
          <xm:sqref>F2:F9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true" outlineLevel="0" max="8" min="8" style="0" width="4"/>
  </cols>
  <sheetData>
    <row r="1" customFormat="false" ht="21.75" hidden="false" customHeight="true" outlineLevel="0" collapsed="false">
      <c r="A1" s="36" t="s">
        <v>521</v>
      </c>
      <c r="B1" s="36" t="s">
        <v>522</v>
      </c>
      <c r="C1" s="36" t="s">
        <v>523</v>
      </c>
      <c r="D1" s="36" t="s">
        <v>524</v>
      </c>
      <c r="E1" s="36" t="s">
        <v>525</v>
      </c>
      <c r="F1" s="36" t="s">
        <v>66</v>
      </c>
      <c r="G1" s="36" t="s">
        <v>68</v>
      </c>
      <c r="H1" s="36" t="s">
        <v>526</v>
      </c>
    </row>
    <row r="2" customFormat="false" ht="15" hidden="false" customHeight="false" outlineLevel="0" collapsed="false">
      <c r="A2" s="0" t="s">
        <v>527</v>
      </c>
      <c r="B2" s="0" t="n">
        <v>4</v>
      </c>
      <c r="C2" s="0" t="n">
        <v>5</v>
      </c>
      <c r="D2" s="0" t="n">
        <f aca="false">$B2*$C2</f>
        <v>20</v>
      </c>
      <c r="E2" s="0" t="s">
        <v>528</v>
      </c>
      <c r="F2" s="0" t="s">
        <v>176</v>
      </c>
      <c r="G2" s="0" t="s">
        <v>529</v>
      </c>
      <c r="H2" s="0" t="n">
        <f aca="false">$D2+(1000-ROW())/1000000</f>
        <v>20.000998</v>
      </c>
    </row>
    <row r="3" customFormat="false" ht="15" hidden="false" customHeight="false" outlineLevel="0" collapsed="false">
      <c r="A3" s="0" t="s">
        <v>530</v>
      </c>
      <c r="B3" s="0" t="n">
        <v>3</v>
      </c>
      <c r="C3" s="0" t="n">
        <v>4</v>
      </c>
      <c r="D3" s="0" t="n">
        <f aca="false">$B3*$C3</f>
        <v>12</v>
      </c>
      <c r="E3" s="0" t="s">
        <v>531</v>
      </c>
      <c r="F3" s="0" t="s">
        <v>272</v>
      </c>
      <c r="G3" s="0" t="s">
        <v>529</v>
      </c>
      <c r="H3" s="0" t="n">
        <f aca="false">$D3+(1000-ROW())/1000000</f>
        <v>12.000997</v>
      </c>
    </row>
    <row r="4" customFormat="false" ht="15" hidden="false" customHeight="false" outlineLevel="0" collapsed="false">
      <c r="A4" s="0" t="s">
        <v>532</v>
      </c>
      <c r="B4" s="0" t="n">
        <v>2</v>
      </c>
      <c r="C4" s="0" t="n">
        <v>5</v>
      </c>
      <c r="D4" s="0" t="n">
        <f aca="false">$B4*$C4</f>
        <v>10</v>
      </c>
      <c r="E4" s="0" t="s">
        <v>533</v>
      </c>
      <c r="F4" s="0" t="s">
        <v>355</v>
      </c>
      <c r="G4" s="0" t="s">
        <v>534</v>
      </c>
      <c r="H4" s="0" t="n">
        <f aca="false">$D4+(1000-ROW())/1000000</f>
        <v>10.000996</v>
      </c>
    </row>
    <row r="5" customFormat="false" ht="15" hidden="false" customHeight="false" outlineLevel="0" collapsed="false">
      <c r="A5" s="0" t="s">
        <v>535</v>
      </c>
      <c r="B5" s="0" t="n">
        <v>3</v>
      </c>
      <c r="C5" s="0" t="n">
        <v>4</v>
      </c>
      <c r="D5" s="0" t="n">
        <f aca="false">$B5*$C5</f>
        <v>12</v>
      </c>
      <c r="E5" s="0" t="s">
        <v>536</v>
      </c>
      <c r="F5" s="0" t="s">
        <v>412</v>
      </c>
      <c r="G5" s="0" t="s">
        <v>529</v>
      </c>
      <c r="H5" s="0" t="n">
        <f aca="false">$D5+(1000-ROW())/1000000</f>
        <v>12.000995</v>
      </c>
    </row>
    <row r="6" customFormat="false" ht="15" hidden="false" customHeight="false" outlineLevel="0" collapsed="false">
      <c r="A6" s="0" t="s">
        <v>537</v>
      </c>
      <c r="B6" s="0" t="n">
        <v>3</v>
      </c>
      <c r="C6" s="0" t="n">
        <v>3</v>
      </c>
      <c r="D6" s="0" t="n">
        <f aca="false">$B6*$C6</f>
        <v>9</v>
      </c>
      <c r="E6" s="0" t="s">
        <v>538</v>
      </c>
      <c r="F6" s="0" t="s">
        <v>341</v>
      </c>
      <c r="G6" s="0" t="s">
        <v>534</v>
      </c>
      <c r="H6" s="0" t="n">
        <f aca="false">$D6+(1000-ROW())/1000000</f>
        <v>9.000994</v>
      </c>
    </row>
    <row r="7" customFormat="false" ht="15" hidden="false" customHeight="false" outlineLevel="0" collapsed="false">
      <c r="A7" s="0" t="s">
        <v>539</v>
      </c>
      <c r="B7" s="0" t="n">
        <v>2</v>
      </c>
      <c r="C7" s="0" t="n">
        <v>4</v>
      </c>
      <c r="D7" s="0" t="n">
        <f aca="false">$B7*$C7</f>
        <v>8</v>
      </c>
      <c r="E7" s="0" t="s">
        <v>540</v>
      </c>
      <c r="F7" s="0" t="s">
        <v>91</v>
      </c>
      <c r="G7" s="0" t="s">
        <v>529</v>
      </c>
      <c r="H7" s="0" t="n">
        <f aca="false">$D7+(1000-ROW())/1000000</f>
        <v>8.000993</v>
      </c>
    </row>
    <row r="8" customFormat="false" ht="15" hidden="false" customHeight="false" outlineLevel="0" collapsed="false">
      <c r="A8" s="0" t="s">
        <v>541</v>
      </c>
      <c r="B8" s="0" t="n">
        <v>2</v>
      </c>
      <c r="C8" s="0" t="n">
        <v>3</v>
      </c>
      <c r="D8" s="0" t="n">
        <f aca="false">$B8*$C8</f>
        <v>6</v>
      </c>
      <c r="E8" s="0" t="s">
        <v>542</v>
      </c>
      <c r="F8" s="0" t="s">
        <v>412</v>
      </c>
      <c r="G8" s="0" t="s">
        <v>534</v>
      </c>
      <c r="H8" s="0" t="n">
        <f aca="false">$D8+(1000-ROW())/1000000</f>
        <v>6.000992</v>
      </c>
    </row>
    <row r="9" customFormat="false" ht="15" hidden="false" customHeight="false" outlineLevel="0" collapsed="false">
      <c r="A9" s="0" t="s">
        <v>543</v>
      </c>
      <c r="B9" s="0" t="n">
        <v>3</v>
      </c>
      <c r="C9" s="0" t="n">
        <v>4</v>
      </c>
      <c r="D9" s="0" t="n">
        <f aca="false">$B9*$C9</f>
        <v>12</v>
      </c>
      <c r="E9" s="0" t="s">
        <v>544</v>
      </c>
      <c r="F9" s="0" t="s">
        <v>366</v>
      </c>
      <c r="G9" s="0" t="s">
        <v>529</v>
      </c>
      <c r="H9" s="0" t="n">
        <f aca="false">$D9+(1000-ROW())/1000000</f>
        <v>12.000991</v>
      </c>
    </row>
    <row r="10" customFormat="false" ht="15" hidden="false" customHeight="false" outlineLevel="0" collapsed="false">
      <c r="A10" s="0" t="s">
        <v>545</v>
      </c>
      <c r="B10" s="0" t="n">
        <v>3</v>
      </c>
      <c r="C10" s="0" t="n">
        <v>3</v>
      </c>
      <c r="D10" s="0" t="n">
        <f aca="false">$B10*$C10</f>
        <v>9</v>
      </c>
      <c r="E10" s="0" t="s">
        <v>546</v>
      </c>
      <c r="F10" s="0" t="s">
        <v>438</v>
      </c>
      <c r="G10" s="0" t="s">
        <v>529</v>
      </c>
      <c r="H10" s="0" t="n">
        <f aca="false">$D10+(1000-ROW())/1000000</f>
        <v>9.00099</v>
      </c>
    </row>
    <row r="11" customFormat="false" ht="15" hidden="false" customHeight="false" outlineLevel="0" collapsed="false">
      <c r="A11" s="0" t="s">
        <v>547</v>
      </c>
      <c r="B11" s="0" t="n">
        <v>2</v>
      </c>
      <c r="C11" s="0" t="n">
        <v>5</v>
      </c>
      <c r="D11" s="0" t="n">
        <f aca="false">$B11*$C11</f>
        <v>10</v>
      </c>
      <c r="E11" s="0" t="s">
        <v>548</v>
      </c>
      <c r="F11" s="0" t="s">
        <v>412</v>
      </c>
      <c r="G11" s="0" t="s">
        <v>529</v>
      </c>
      <c r="H11" s="0" t="n">
        <f aca="false">$D11+(1000-ROW())/1000000</f>
        <v>10.000989</v>
      </c>
    </row>
  </sheetData>
  <conditionalFormatting sqref="D2:D11">
    <cfRule type="colorScale" priority="2">
      <colorScale>
        <cfvo type="min" val="0"/>
        <cfvo type="percentile" val="50"/>
        <cfvo type="max" val="0"/>
        <color rgb="FFC6EFCE"/>
        <color rgb="FFFFEB9C"/>
        <color rgb="FFFFC7CE"/>
      </colorScale>
    </cfRule>
    <cfRule type="cellIs" priority="3" operator="greaterThanOrEqual" aboveAverage="0" equalAverage="0" bottom="0" percent="0" rank="0" text="" dxfId="22">
      <formula>15</formula>
    </cfRule>
  </conditionalFormatting>
  <conditionalFormatting sqref="G2:G11">
    <cfRule type="cellIs" priority="4" operator="equal" aboveAverage="0" equalAverage="0" bottom="0" percent="0" rank="0" text="" dxfId="19">
      <formula>"Open"</formula>
    </cfRule>
    <cfRule type="cellIs" priority="5" operator="equal" aboveAverage="0" equalAverage="0" bottom="0" percent="0" rank="0" text="" dxfId="18">
      <formula>"Mitigating"</formula>
    </cfRule>
    <cfRule type="cellIs" priority="6" operator="equal" aboveAverage="0" equalAverage="0" bottom="0" percent="0" rank="0" text="" dxfId="16">
      <formula>"Closed"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21.75" hidden="false" customHeight="true" outlineLevel="0" collapsed="false">
      <c r="A1" s="36" t="s">
        <v>549</v>
      </c>
      <c r="B1" s="36" t="s">
        <v>67</v>
      </c>
      <c r="C1" s="36" t="s">
        <v>550</v>
      </c>
      <c r="D1" s="36" t="s">
        <v>93</v>
      </c>
      <c r="E1" s="36" t="s">
        <v>551</v>
      </c>
      <c r="F1" s="36" t="s">
        <v>552</v>
      </c>
      <c r="G1" s="36" t="s">
        <v>553</v>
      </c>
      <c r="H1" s="36" t="s">
        <v>554</v>
      </c>
    </row>
    <row r="2" customFormat="false" ht="15" hidden="false" customHeight="false" outlineLevel="0" collapsed="false">
      <c r="A2" s="0" t="s">
        <v>91</v>
      </c>
      <c r="B2" s="0" t="s">
        <v>92</v>
      </c>
      <c r="C2" s="0" t="n">
        <f aca="false">COUNTIF('Master Task List'!$G:$G,$A2)</f>
        <v>6</v>
      </c>
      <c r="D2" s="0" t="n">
        <f aca="false">COUNTIFS('Master Task List'!$G:$G,$A2,'Master Task List'!$I:$I,"Completed")</f>
        <v>3</v>
      </c>
      <c r="E2" s="0" t="n">
        <f aca="false">COUNTIFS('Master Task List'!$G:$G,$A2,'Master Task List'!$I:$I,"Not Started")+COUNTIFS('Master Task List'!$G:$G,$A2,'Master Task List'!$I:$I,"Planning")+COUNTIFS('Master Task List'!$G:$G,$A2,'Master Task List'!$I:$I,"Blocked")</f>
        <v>3</v>
      </c>
      <c r="F2" s="37" t="n">
        <f aca="false">IFERROR(AVERAGEIFS('Master Task List'!$J:$J,'Master Task List'!$G:$G,$A2),0)</f>
        <v>0.5</v>
      </c>
      <c r="G2" s="0" t="n">
        <f aca="false">COUNTIFS('Master Task List'!$G:$G,$A2,'Master Task List'!$I:$I,"Blocked")</f>
        <v>0</v>
      </c>
      <c r="H2" s="37" t="n">
        <f aca="false">IFERROR($D2/$C2,0)</f>
        <v>0.5</v>
      </c>
    </row>
    <row r="3" customFormat="false" ht="15" hidden="false" customHeight="false" outlineLevel="0" collapsed="false">
      <c r="A3" s="0" t="s">
        <v>107</v>
      </c>
      <c r="B3" s="0" t="s">
        <v>103</v>
      </c>
      <c r="C3" s="0" t="n">
        <f aca="false">COUNTIF('Master Task List'!$G:$G,$A3)</f>
        <v>3</v>
      </c>
      <c r="D3" s="0" t="n">
        <f aca="false">COUNTIFS('Master Task List'!$G:$G,$A3,'Master Task List'!$I:$I,"Completed")</f>
        <v>3</v>
      </c>
      <c r="E3" s="0" t="n">
        <f aca="false">COUNTIFS('Master Task List'!$G:$G,$A3,'Master Task List'!$I:$I,"Not Started")+COUNTIFS('Master Task List'!$G:$G,$A3,'Master Task List'!$I:$I,"Planning")+COUNTIFS('Master Task List'!$G:$G,$A3,'Master Task List'!$I:$I,"Blocked")</f>
        <v>0</v>
      </c>
      <c r="F3" s="37" t="n">
        <f aca="false">IFERROR(AVERAGEIFS('Master Task List'!$J:$J,'Master Task List'!$G:$G,$A3),0)</f>
        <v>1</v>
      </c>
      <c r="G3" s="0" t="n">
        <f aca="false">COUNTIFS('Master Task List'!$G:$G,$A3,'Master Task List'!$I:$I,"Blocked")</f>
        <v>0</v>
      </c>
      <c r="H3" s="37" t="n">
        <f aca="false">IFERROR($D3/$C3,0)</f>
        <v>1</v>
      </c>
    </row>
    <row r="4" customFormat="false" ht="15" hidden="false" customHeight="false" outlineLevel="0" collapsed="false">
      <c r="A4" s="0" t="s">
        <v>120</v>
      </c>
      <c r="B4" s="0" t="s">
        <v>121</v>
      </c>
      <c r="C4" s="0" t="n">
        <f aca="false">COUNTIF('Master Task List'!$G:$G,$A4)</f>
        <v>3</v>
      </c>
      <c r="D4" s="0" t="n">
        <f aca="false">COUNTIFS('Master Task List'!$G:$G,$A4,'Master Task List'!$I:$I,"Completed")</f>
        <v>3</v>
      </c>
      <c r="E4" s="0" t="n">
        <f aca="false">COUNTIFS('Master Task List'!$G:$G,$A4,'Master Task List'!$I:$I,"Not Started")+COUNTIFS('Master Task List'!$G:$G,$A4,'Master Task List'!$I:$I,"Planning")+COUNTIFS('Master Task List'!$G:$G,$A4,'Master Task List'!$I:$I,"Blocked")</f>
        <v>0</v>
      </c>
      <c r="F4" s="37" t="n">
        <f aca="false">IFERROR(AVERAGEIFS('Master Task List'!$J:$J,'Master Task List'!$G:$G,$A4),0)</f>
        <v>1</v>
      </c>
      <c r="G4" s="0" t="n">
        <f aca="false">COUNTIFS('Master Task List'!$G:$G,$A4,'Master Task List'!$I:$I,"Blocked")</f>
        <v>0</v>
      </c>
      <c r="H4" s="37" t="n">
        <f aca="false">IFERROR($D4/$C4,0)</f>
        <v>1</v>
      </c>
    </row>
    <row r="5" customFormat="false" ht="15" hidden="false" customHeight="false" outlineLevel="0" collapsed="false">
      <c r="A5" s="0" t="s">
        <v>135</v>
      </c>
      <c r="B5" s="0" t="s">
        <v>121</v>
      </c>
      <c r="C5" s="0" t="n">
        <f aca="false">COUNTIF('Master Task List'!$G:$G,$A5)</f>
        <v>3</v>
      </c>
      <c r="D5" s="0" t="n">
        <f aca="false">COUNTIFS('Master Task List'!$G:$G,$A5,'Master Task List'!$I:$I,"Completed")</f>
        <v>3</v>
      </c>
      <c r="E5" s="0" t="n">
        <f aca="false">COUNTIFS('Master Task List'!$G:$G,$A5,'Master Task List'!$I:$I,"Not Started")+COUNTIFS('Master Task List'!$G:$G,$A5,'Master Task List'!$I:$I,"Planning")+COUNTIFS('Master Task List'!$G:$G,$A5,'Master Task List'!$I:$I,"Blocked")</f>
        <v>0</v>
      </c>
      <c r="F5" s="37" t="n">
        <f aca="false">IFERROR(AVERAGEIFS('Master Task List'!$J:$J,'Master Task List'!$G:$G,$A5),0)</f>
        <v>1</v>
      </c>
      <c r="G5" s="0" t="n">
        <f aca="false">COUNTIFS('Master Task List'!$G:$G,$A5,'Master Task List'!$I:$I,"Blocked")</f>
        <v>0</v>
      </c>
      <c r="H5" s="37" t="n">
        <f aca="false">IFERROR($D5/$C5,0)</f>
        <v>1</v>
      </c>
    </row>
    <row r="6" customFormat="false" ht="15" hidden="false" customHeight="false" outlineLevel="0" collapsed="false">
      <c r="A6" s="0" t="s">
        <v>148</v>
      </c>
      <c r="B6" s="0" t="s">
        <v>149</v>
      </c>
      <c r="C6" s="0" t="n">
        <f aca="false">COUNTIF('Master Task List'!$G:$G,$A6)</f>
        <v>6</v>
      </c>
      <c r="D6" s="0" t="n">
        <f aca="false">COUNTIFS('Master Task List'!$G:$G,$A6,'Master Task List'!$I:$I,"Completed")</f>
        <v>0</v>
      </c>
      <c r="E6" s="0" t="n">
        <f aca="false">COUNTIFS('Master Task List'!$G:$G,$A6,'Master Task List'!$I:$I,"Not Started")+COUNTIFS('Master Task List'!$G:$G,$A6,'Master Task List'!$I:$I,"Planning")+COUNTIFS('Master Task List'!$G:$G,$A6,'Master Task List'!$I:$I,"Blocked")</f>
        <v>3</v>
      </c>
      <c r="F6" s="37" t="n">
        <f aca="false">IFERROR(AVERAGEIFS('Master Task List'!$J:$J,'Master Task List'!$G:$G,$A6),0)</f>
        <v>0.341666666666667</v>
      </c>
      <c r="G6" s="0" t="n">
        <f aca="false">COUNTIFS('Master Task List'!$G:$G,$A6,'Master Task List'!$I:$I,"Blocked")</f>
        <v>0</v>
      </c>
      <c r="H6" s="37" t="n">
        <f aca="false">IFERROR($D6/$C6,0)</f>
        <v>0</v>
      </c>
    </row>
    <row r="7" customFormat="false" ht="15" hidden="false" customHeight="false" outlineLevel="0" collapsed="false">
      <c r="A7" s="0" t="s">
        <v>163</v>
      </c>
      <c r="B7" s="0" t="s">
        <v>149</v>
      </c>
      <c r="C7" s="0" t="n">
        <f aca="false">COUNTIF('Master Task List'!$G:$G,$A7)</f>
        <v>9</v>
      </c>
      <c r="D7" s="0" t="n">
        <f aca="false">COUNTIFS('Master Task List'!$G:$G,$A7,'Master Task List'!$I:$I,"Completed")</f>
        <v>0</v>
      </c>
      <c r="E7" s="0" t="n">
        <f aca="false">COUNTIFS('Master Task List'!$G:$G,$A7,'Master Task List'!$I:$I,"Not Started")+COUNTIFS('Master Task List'!$G:$G,$A7,'Master Task List'!$I:$I,"Planning")+COUNTIFS('Master Task List'!$G:$G,$A7,'Master Task List'!$I:$I,"Blocked")</f>
        <v>6</v>
      </c>
      <c r="F7" s="37" t="n">
        <f aca="false">IFERROR(AVERAGEIFS('Master Task List'!$J:$J,'Master Task List'!$G:$G,$A7),0)</f>
        <v>0.227777777777778</v>
      </c>
      <c r="G7" s="0" t="n">
        <f aca="false">COUNTIFS('Master Task List'!$G:$G,$A7,'Master Task List'!$I:$I,"Blocked")</f>
        <v>0</v>
      </c>
      <c r="H7" s="37" t="n">
        <f aca="false">IFERROR($D7/$C7,0)</f>
        <v>0</v>
      </c>
    </row>
    <row r="8" customFormat="false" ht="15" hidden="false" customHeight="false" outlineLevel="0" collapsed="false">
      <c r="A8" s="0" t="s">
        <v>176</v>
      </c>
      <c r="B8" s="0" t="s">
        <v>149</v>
      </c>
      <c r="C8" s="0" t="n">
        <f aca="false">COUNTIF('Master Task List'!$G:$G,$A8)</f>
        <v>12</v>
      </c>
      <c r="D8" s="0" t="n">
        <f aca="false">COUNTIFS('Master Task List'!$G:$G,$A8,'Master Task List'!$I:$I,"Completed")</f>
        <v>3</v>
      </c>
      <c r="E8" s="0" t="n">
        <f aca="false">COUNTIFS('Master Task List'!$G:$G,$A8,'Master Task List'!$I:$I,"Not Started")+COUNTIFS('Master Task List'!$G:$G,$A8,'Master Task List'!$I:$I,"Planning")+COUNTIFS('Master Task List'!$G:$G,$A8,'Master Task List'!$I:$I,"Blocked")</f>
        <v>4</v>
      </c>
      <c r="F8" s="37" t="n">
        <f aca="false">IFERROR(AVERAGEIFS('Master Task List'!$J:$J,'Master Task List'!$G:$G,$A8),0)</f>
        <v>0.570833333333333</v>
      </c>
      <c r="G8" s="0" t="n">
        <f aca="false">COUNTIFS('Master Task List'!$G:$G,$A8,'Master Task List'!$I:$I,"Blocked")</f>
        <v>1</v>
      </c>
      <c r="H8" s="37" t="n">
        <f aca="false">IFERROR($D8/$C8,0)</f>
        <v>0.25</v>
      </c>
    </row>
    <row r="9" customFormat="false" ht="15" hidden="false" customHeight="false" outlineLevel="0" collapsed="false">
      <c r="A9" s="0" t="s">
        <v>188</v>
      </c>
      <c r="B9" s="0" t="s">
        <v>149</v>
      </c>
      <c r="C9" s="0" t="n">
        <f aca="false">COUNTIF('Master Task List'!$G:$G,$A9)</f>
        <v>12</v>
      </c>
      <c r="D9" s="0" t="n">
        <f aca="false">COUNTIFS('Master Task List'!$G:$G,$A9,'Master Task List'!$I:$I,"Completed")</f>
        <v>1</v>
      </c>
      <c r="E9" s="0" t="n">
        <f aca="false">COUNTIFS('Master Task List'!$G:$G,$A9,'Master Task List'!$I:$I,"Not Started")+COUNTIFS('Master Task List'!$G:$G,$A9,'Master Task List'!$I:$I,"Planning")+COUNTIFS('Master Task List'!$G:$G,$A9,'Master Task List'!$I:$I,"Blocked")</f>
        <v>4</v>
      </c>
      <c r="F9" s="37" t="n">
        <f aca="false">IFERROR(AVERAGEIFS('Master Task List'!$J:$J,'Master Task List'!$G:$G,$A9),0)</f>
        <v>0.4375</v>
      </c>
      <c r="G9" s="0" t="n">
        <f aca="false">COUNTIFS('Master Task List'!$G:$G,$A9,'Master Task List'!$I:$I,"Blocked")</f>
        <v>0</v>
      </c>
      <c r="H9" s="37" t="n">
        <f aca="false">IFERROR($D9/$C9,0)</f>
        <v>0.0833333333333333</v>
      </c>
    </row>
    <row r="10" customFormat="false" ht="15" hidden="false" customHeight="false" outlineLevel="0" collapsed="false">
      <c r="A10" s="0" t="s">
        <v>341</v>
      </c>
      <c r="B10" s="0" t="s">
        <v>342</v>
      </c>
      <c r="C10" s="0" t="n">
        <f aca="false">COUNTIF('Master Task List'!$G:$G,$A10)</f>
        <v>6</v>
      </c>
      <c r="D10" s="0" t="n">
        <f aca="false">COUNTIFS('Master Task List'!$G:$G,$A10,'Master Task List'!$I:$I,"Completed")</f>
        <v>0</v>
      </c>
      <c r="E10" s="0" t="n">
        <f aca="false">COUNTIFS('Master Task List'!$G:$G,$A10,'Master Task List'!$I:$I,"Not Started")+COUNTIFS('Master Task List'!$G:$G,$A10,'Master Task List'!$I:$I,"Planning")+COUNTIFS('Master Task List'!$G:$G,$A10,'Master Task List'!$I:$I,"Blocked")</f>
        <v>3</v>
      </c>
      <c r="F10" s="37" t="n">
        <f aca="false">IFERROR(AVERAGEIFS('Master Task List'!$J:$J,'Master Task List'!$G:$G,$A10),0)</f>
        <v>0.233333333333333</v>
      </c>
      <c r="G10" s="0" t="n">
        <f aca="false">COUNTIFS('Master Task List'!$G:$G,$A10,'Master Task List'!$I:$I,"Blocked")</f>
        <v>0</v>
      </c>
      <c r="H10" s="37" t="n">
        <f aca="false">IFERROR($D10/$C10,0)</f>
        <v>0</v>
      </c>
    </row>
    <row r="11" customFormat="false" ht="15" hidden="false" customHeight="false" outlineLevel="0" collapsed="false">
      <c r="A11" s="0" t="s">
        <v>366</v>
      </c>
      <c r="B11" s="0" t="s">
        <v>367</v>
      </c>
      <c r="C11" s="0" t="n">
        <f aca="false">COUNTIF('Master Task List'!$G:$G,$A11)</f>
        <v>6</v>
      </c>
      <c r="D11" s="0" t="n">
        <f aca="false">COUNTIFS('Master Task List'!$G:$G,$A11,'Master Task List'!$I:$I,"Completed")</f>
        <v>0</v>
      </c>
      <c r="E11" s="0" t="n">
        <f aca="false">COUNTIFS('Master Task List'!$G:$G,$A11,'Master Task List'!$I:$I,"Not Started")+COUNTIFS('Master Task List'!$G:$G,$A11,'Master Task List'!$I:$I,"Planning")+COUNTIFS('Master Task List'!$G:$G,$A11,'Master Task List'!$I:$I,"Blocked")</f>
        <v>6</v>
      </c>
      <c r="F11" s="37" t="n">
        <f aca="false">IFERROR(AVERAGEIFS('Master Task List'!$J:$J,'Master Task List'!$G:$G,$A11),0)</f>
        <v>0</v>
      </c>
      <c r="G11" s="0" t="n">
        <f aca="false">COUNTIFS('Master Task List'!$G:$G,$A11,'Master Task List'!$I:$I,"Blocked")</f>
        <v>0</v>
      </c>
      <c r="H11" s="37" t="n">
        <f aca="false">IFERROR($D11/$C11,0)</f>
        <v>0</v>
      </c>
    </row>
    <row r="12" customFormat="false" ht="15" hidden="false" customHeight="false" outlineLevel="0" collapsed="false">
      <c r="A12" s="0" t="s">
        <v>355</v>
      </c>
      <c r="B12" s="0" t="s">
        <v>351</v>
      </c>
      <c r="C12" s="0" t="n">
        <f aca="false">COUNTIF('Master Task List'!$G:$G,$A12)</f>
        <v>3</v>
      </c>
      <c r="D12" s="0" t="n">
        <f aca="false">COUNTIFS('Master Task List'!$G:$G,$A12,'Master Task List'!$I:$I,"Completed")</f>
        <v>0</v>
      </c>
      <c r="E12" s="0" t="n">
        <f aca="false">COUNTIFS('Master Task List'!$G:$G,$A12,'Master Task List'!$I:$I,"Not Started")+COUNTIFS('Master Task List'!$G:$G,$A12,'Master Task List'!$I:$I,"Planning")+COUNTIFS('Master Task List'!$G:$G,$A12,'Master Task List'!$I:$I,"Blocked")</f>
        <v>1</v>
      </c>
      <c r="F12" s="37" t="n">
        <f aca="false">IFERROR(AVERAGEIFS('Master Task List'!$J:$J,'Master Task List'!$G:$G,$A12),0)</f>
        <v>0.283333333333333</v>
      </c>
      <c r="G12" s="0" t="n">
        <f aca="false">COUNTIFS('Master Task List'!$G:$G,$A12,'Master Task List'!$I:$I,"Blocked")</f>
        <v>0</v>
      </c>
      <c r="H12" s="37" t="n">
        <f aca="false">IFERROR($D12/$C12,0)</f>
        <v>0</v>
      </c>
    </row>
    <row r="13" customFormat="false" ht="15" hidden="false" customHeight="false" outlineLevel="0" collapsed="false">
      <c r="A13" s="0" t="s">
        <v>272</v>
      </c>
      <c r="B13" s="0" t="s">
        <v>273</v>
      </c>
      <c r="C13" s="0" t="n">
        <f aca="false">COUNTIF('Master Task List'!$G:$G,$A13)</f>
        <v>9</v>
      </c>
      <c r="D13" s="0" t="n">
        <f aca="false">COUNTIFS('Master Task List'!$G:$G,$A13,'Master Task List'!$I:$I,"Completed")</f>
        <v>0</v>
      </c>
      <c r="E13" s="0" t="n">
        <f aca="false">COUNTIFS('Master Task List'!$G:$G,$A13,'Master Task List'!$I:$I,"Not Started")+COUNTIFS('Master Task List'!$G:$G,$A13,'Master Task List'!$I:$I,"Planning")+COUNTIFS('Master Task List'!$G:$G,$A13,'Master Task List'!$I:$I,"Blocked")</f>
        <v>9</v>
      </c>
      <c r="F13" s="37" t="n">
        <f aca="false">IFERROR(AVERAGEIFS('Master Task List'!$J:$J,'Master Task List'!$G:$G,$A13),0)</f>
        <v>0.0444444444444444</v>
      </c>
      <c r="G13" s="0" t="n">
        <f aca="false">COUNTIFS('Master Task List'!$G:$G,$A13,'Master Task List'!$I:$I,"Blocked")</f>
        <v>1</v>
      </c>
      <c r="H13" s="37" t="n">
        <f aca="false">IFERROR($D13/$C13,0)</f>
        <v>0</v>
      </c>
    </row>
    <row r="14" customFormat="false" ht="15" hidden="false" customHeight="false" outlineLevel="0" collapsed="false">
      <c r="A14" s="0" t="s">
        <v>412</v>
      </c>
      <c r="B14" s="0" t="s">
        <v>413</v>
      </c>
      <c r="C14" s="0" t="n">
        <f aca="false">COUNTIF('Master Task List'!$G:$G,$A14)</f>
        <v>6</v>
      </c>
      <c r="D14" s="0" t="n">
        <f aca="false">COUNTIFS('Master Task List'!$G:$G,$A14,'Master Task List'!$I:$I,"Completed")</f>
        <v>0</v>
      </c>
      <c r="E14" s="0" t="n">
        <f aca="false">COUNTIFS('Master Task List'!$G:$G,$A14,'Master Task List'!$I:$I,"Not Started")+COUNTIFS('Master Task List'!$G:$G,$A14,'Master Task List'!$I:$I,"Planning")+COUNTIFS('Master Task List'!$G:$G,$A14,'Master Task List'!$I:$I,"Blocked")</f>
        <v>5</v>
      </c>
      <c r="F14" s="37" t="n">
        <f aca="false">IFERROR(AVERAGEIFS('Master Task List'!$J:$J,'Master Task List'!$G:$G,$A14),0)</f>
        <v>0</v>
      </c>
      <c r="G14" s="0" t="n">
        <f aca="false">COUNTIFS('Master Task List'!$G:$G,$A14,'Master Task List'!$I:$I,"Blocked")</f>
        <v>0</v>
      </c>
      <c r="H14" s="37" t="n">
        <f aca="false">IFERROR($D14/$C14,0)</f>
        <v>0</v>
      </c>
    </row>
    <row r="15" customFormat="false" ht="15" hidden="false" customHeight="false" outlineLevel="0" collapsed="false">
      <c r="A15" s="0" t="s">
        <v>438</v>
      </c>
      <c r="B15" s="0" t="s">
        <v>439</v>
      </c>
      <c r="C15" s="0" t="n">
        <f aca="false">COUNTIF('Master Task List'!$G:$G,$A15)</f>
        <v>6</v>
      </c>
      <c r="D15" s="0" t="n">
        <f aca="false">COUNTIFS('Master Task List'!$G:$G,$A15,'Master Task List'!$I:$I,"Completed")</f>
        <v>0</v>
      </c>
      <c r="E15" s="0" t="n">
        <f aca="false">COUNTIFS('Master Task List'!$G:$G,$A15,'Master Task List'!$I:$I,"Not Started")+COUNTIFS('Master Task List'!$G:$G,$A15,'Master Task List'!$I:$I,"Planning")+COUNTIFS('Master Task List'!$G:$G,$A15,'Master Task List'!$I:$I,"Blocked")</f>
        <v>6</v>
      </c>
      <c r="F15" s="37" t="n">
        <f aca="false">IFERROR(AVERAGEIFS('Master Task List'!$J:$J,'Master Task List'!$G:$G,$A15),0)</f>
        <v>0</v>
      </c>
      <c r="G15" s="0" t="n">
        <f aca="false">COUNTIFS('Master Task List'!$G:$G,$A15,'Master Task List'!$I:$I,"Blocked")</f>
        <v>0</v>
      </c>
      <c r="H15" s="37" t="n">
        <f aca="false">IFERROR($D15/$C15,0)</f>
        <v>0</v>
      </c>
    </row>
  </sheetData>
  <conditionalFormatting sqref="F2:F15">
    <cfRule type="dataBar" priority="2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{F9B0A073-92D4-426D-82E3-5FBCE81DFD79}</x14:id>
        </ext>
      </extLst>
    </cfRule>
  </conditionalFormatting>
  <conditionalFormatting sqref="H2:H15">
    <cfRule type="colorScale" priority="3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G2:G15">
    <cfRule type="cellIs" priority="4" operator="greaterThan" aboveAverage="0" equalAverage="0" bottom="0" percent="0" rank="0" text="" dxfId="1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B0A073-92D4-426D-82E3-5FBCE81DFD7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F2:F15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true" outlineLevel="0" max="1" min="1" style="0" width="4"/>
    <col collapsed="false" customWidth="true" hidden="false" outlineLevel="0" max="3" min="2" style="0" width="2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2"/>
  </cols>
  <sheetData>
    <row r="1" customFormat="false" ht="25.5" hidden="false" customHeight="true" outlineLevel="0" collapsed="false">
      <c r="A1" s="1" t="s">
        <v>555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B3" s="2" t="s">
        <v>556</v>
      </c>
      <c r="C3" s="38" t="n">
        <f aca="true">TODAY()-WEEKDAY(TODAY(),3)</f>
        <v>46223</v>
      </c>
      <c r="D3" s="2" t="s">
        <v>557</v>
      </c>
      <c r="E3" s="38" t="n">
        <f aca="true">TODAY()</f>
        <v>46229</v>
      </c>
    </row>
    <row r="5" customFormat="false" ht="21.75" hidden="false" customHeight="true" outlineLevel="0" collapsed="false">
      <c r="B5" s="36" t="s">
        <v>558</v>
      </c>
      <c r="C5" s="36" t="s">
        <v>559</v>
      </c>
    </row>
    <row r="6" customFormat="false" ht="15" hidden="false" customHeight="false" outlineLevel="0" collapsed="false">
      <c r="B6" s="50" t="s">
        <v>560</v>
      </c>
      <c r="C6" s="51" t="n">
        <f aca="false">COUNTIFS('Master Task List'!$M:$M,"&gt;="&amp;$C$3,'Master Task List'!$M:$M,"&lt;="&amp;$E$3)</f>
        <v>0</v>
      </c>
    </row>
    <row r="7" customFormat="false" ht="15" hidden="false" customHeight="false" outlineLevel="0" collapsed="false">
      <c r="B7" s="50" t="s">
        <v>561</v>
      </c>
      <c r="C7" s="51" t="n">
        <f aca="false">COUNTIFS('Master Task List'!$K:$K,"&gt;="&amp;$C$3,'Master Task List'!$K:$K,"&lt;="&amp;$E$3)</f>
        <v>4</v>
      </c>
    </row>
    <row r="8" customFormat="false" ht="15" hidden="false" customHeight="false" outlineLevel="0" collapsed="false">
      <c r="B8" s="50" t="s">
        <v>562</v>
      </c>
      <c r="C8" s="51" t="n">
        <f aca="false">COUNTIFS('Master Task List'!$K:$K,"&gt;"&amp;$E$3,'Master Task List'!$K:$K,"&lt;="&amp;$E$3+7)</f>
        <v>2</v>
      </c>
    </row>
    <row r="9" customFormat="false" ht="15" hidden="false" customHeight="false" outlineLevel="0" collapsed="false">
      <c r="B9" s="50" t="s">
        <v>563</v>
      </c>
      <c r="C9" s="51" t="n">
        <f aca="false">SUM('Master Task List'!$S$2:$S$600)</f>
        <v>12</v>
      </c>
    </row>
    <row r="10" customFormat="false" ht="15" hidden="false" customHeight="false" outlineLevel="0" collapsed="false">
      <c r="B10" s="50" t="s">
        <v>564</v>
      </c>
      <c r="C10" s="51" t="n">
        <f aca="false">COUNTIFS('Master Task List'!$F:$F,"Critical",'Master Task List'!$I:$I,"&lt;&gt;Completed",'Master Task List'!$I:$I,"&lt;&gt;Cancelled")</f>
        <v>4</v>
      </c>
    </row>
    <row r="11" customFormat="false" ht="15" hidden="false" customHeight="false" outlineLevel="0" collapsed="false">
      <c r="B11" s="50" t="s">
        <v>565</v>
      </c>
      <c r="C11" s="51" t="n">
        <f aca="false">COUNTIFS(Milestones!$C:$C,"&gt;="&amp;$E$3,Milestones!$C:$C,"&lt;="&amp;$E$3+30,Milestones!$D:$D,"&lt;&gt;Completed")</f>
        <v>1</v>
      </c>
    </row>
    <row r="13" customFormat="false" ht="19.5" hidden="false" customHeight="true" outlineLevel="0" collapsed="false">
      <c r="A13" s="52" t="s">
        <v>566</v>
      </c>
      <c r="B13" s="52"/>
      <c r="C13" s="52"/>
      <c r="D13" s="52"/>
      <c r="E13" s="52"/>
    </row>
    <row r="14" customFormat="false" ht="18" hidden="false" customHeight="true" outlineLevel="0" collapsed="false">
      <c r="B14" s="36" t="s">
        <v>63</v>
      </c>
      <c r="C14" s="36" t="s">
        <v>61</v>
      </c>
      <c r="D14" s="36" t="s">
        <v>66</v>
      </c>
      <c r="E14" s="36" t="s">
        <v>459</v>
      </c>
    </row>
    <row r="15" customFormat="false" ht="15" hidden="false" customHeight="false" outlineLevel="0" collapsed="false">
      <c r="A15" s="0" t="str">
        <f aca="false">IFERROR(SMALL('Master Task List'!$V$2:$V$600,1),"")</f>
        <v/>
      </c>
      <c r="B15" s="0" t="str">
        <f aca="false">IF($A15="","",INDEX('Master Task List'!$D:$D,$A15))</f>
        <v/>
      </c>
      <c r="C15" s="0" t="str">
        <f aca="false">IF($A15="","",INDEX('Master Task List'!$B:$B,$A15))</f>
        <v/>
      </c>
      <c r="D15" s="0" t="str">
        <f aca="false">IF($A15="","",INDEX('Master Task List'!$G:$G,$A15))</f>
        <v/>
      </c>
      <c r="E15" s="38" t="str">
        <f aca="false">IF($A15="","",INDEX('Master Task List'!$M:$M,$A15))</f>
        <v/>
      </c>
    </row>
    <row r="16" customFormat="false" ht="15" hidden="false" customHeight="false" outlineLevel="0" collapsed="false">
      <c r="A16" s="0" t="str">
        <f aca="false">IFERROR(SMALL('Master Task List'!$V$2:$V$600,2),"")</f>
        <v/>
      </c>
      <c r="B16" s="0" t="str">
        <f aca="false">IF($A16="","",INDEX('Master Task List'!$D:$D,$A16))</f>
        <v/>
      </c>
      <c r="C16" s="0" t="str">
        <f aca="false">IF($A16="","",INDEX('Master Task List'!$B:$B,$A16))</f>
        <v/>
      </c>
      <c r="D16" s="0" t="str">
        <f aca="false">IF($A16="","",INDEX('Master Task List'!$G:$G,$A16))</f>
        <v/>
      </c>
      <c r="E16" s="38" t="str">
        <f aca="false">IF($A16="","",INDEX('Master Task List'!$M:$M,$A16))</f>
        <v/>
      </c>
    </row>
    <row r="17" customFormat="false" ht="15" hidden="false" customHeight="false" outlineLevel="0" collapsed="false">
      <c r="A17" s="0" t="str">
        <f aca="false">IFERROR(SMALL('Master Task List'!$V$2:$V$600,3),"")</f>
        <v/>
      </c>
      <c r="B17" s="0" t="str">
        <f aca="false">IF($A17="","",INDEX('Master Task List'!$D:$D,$A17))</f>
        <v/>
      </c>
      <c r="C17" s="0" t="str">
        <f aca="false">IF($A17="","",INDEX('Master Task List'!$B:$B,$A17))</f>
        <v/>
      </c>
      <c r="D17" s="0" t="str">
        <f aca="false">IF($A17="","",INDEX('Master Task List'!$G:$G,$A17))</f>
        <v/>
      </c>
      <c r="E17" s="38" t="str">
        <f aca="false">IF($A17="","",INDEX('Master Task List'!$M:$M,$A17))</f>
        <v/>
      </c>
    </row>
    <row r="18" customFormat="false" ht="15" hidden="false" customHeight="false" outlineLevel="0" collapsed="false">
      <c r="A18" s="0" t="str">
        <f aca="false">IFERROR(SMALL('Master Task List'!$V$2:$V$600,4),"")</f>
        <v/>
      </c>
      <c r="B18" s="0" t="str">
        <f aca="false">IF($A18="","",INDEX('Master Task List'!$D:$D,$A18))</f>
        <v/>
      </c>
      <c r="C18" s="0" t="str">
        <f aca="false">IF($A18="","",INDEX('Master Task List'!$B:$B,$A18))</f>
        <v/>
      </c>
      <c r="D18" s="0" t="str">
        <f aca="false">IF($A18="","",INDEX('Master Task List'!$G:$G,$A18))</f>
        <v/>
      </c>
      <c r="E18" s="38" t="str">
        <f aca="false">IF($A18="","",INDEX('Master Task List'!$M:$M,$A18))</f>
        <v/>
      </c>
    </row>
    <row r="19" customFormat="false" ht="15" hidden="false" customHeight="false" outlineLevel="0" collapsed="false">
      <c r="A19" s="0" t="str">
        <f aca="false">IFERROR(SMALL('Master Task List'!$V$2:$V$600,5),"")</f>
        <v/>
      </c>
      <c r="B19" s="0" t="str">
        <f aca="false">IF($A19="","",INDEX('Master Task List'!$D:$D,$A19))</f>
        <v/>
      </c>
      <c r="C19" s="0" t="str">
        <f aca="false">IF($A19="","",INDEX('Master Task List'!$B:$B,$A19))</f>
        <v/>
      </c>
      <c r="D19" s="0" t="str">
        <f aca="false">IF($A19="","",INDEX('Master Task List'!$G:$G,$A19))</f>
        <v/>
      </c>
      <c r="E19" s="38" t="str">
        <f aca="false">IF($A19="","",INDEX('Master Task List'!$M:$M,$A19))</f>
        <v/>
      </c>
    </row>
    <row r="20" customFormat="false" ht="15" hidden="false" customHeight="false" outlineLevel="0" collapsed="false">
      <c r="A20" s="0" t="str">
        <f aca="false">IFERROR(SMALL('Master Task List'!$V$2:$V$600,6),"")</f>
        <v/>
      </c>
      <c r="B20" s="0" t="str">
        <f aca="false">IF($A20="","",INDEX('Master Task List'!$D:$D,$A20))</f>
        <v/>
      </c>
      <c r="C20" s="0" t="str">
        <f aca="false">IF($A20="","",INDEX('Master Task List'!$B:$B,$A20))</f>
        <v/>
      </c>
      <c r="D20" s="0" t="str">
        <f aca="false">IF($A20="","",INDEX('Master Task List'!$G:$G,$A20))</f>
        <v/>
      </c>
      <c r="E20" s="38" t="str">
        <f aca="false">IF($A20="","",INDEX('Master Task List'!$M:$M,$A20))</f>
        <v/>
      </c>
    </row>
    <row r="22" customFormat="false" ht="19.5" hidden="false" customHeight="true" outlineLevel="0" collapsed="false">
      <c r="A22" s="53" t="s">
        <v>567</v>
      </c>
      <c r="B22" s="53"/>
      <c r="C22" s="53"/>
      <c r="D22" s="53"/>
      <c r="E22" s="53"/>
    </row>
    <row r="23" customFormat="false" ht="18" hidden="false" customHeight="true" outlineLevel="0" collapsed="false">
      <c r="B23" s="36" t="s">
        <v>63</v>
      </c>
      <c r="C23" s="36" t="s">
        <v>61</v>
      </c>
      <c r="D23" s="36" t="s">
        <v>66</v>
      </c>
      <c r="E23" s="36" t="s">
        <v>68</v>
      </c>
    </row>
    <row r="24" customFormat="false" ht="15" hidden="false" customHeight="false" outlineLevel="0" collapsed="false">
      <c r="A24" s="0" t="str">
        <f aca="false">IFERROR(SMALL('Master Task List'!$W$2:$W$600,1),"")</f>
        <v/>
      </c>
      <c r="B24" s="0" t="str">
        <f aca="false">IF($A24="","",INDEX('Master Task List'!$D:$D,$A24))</f>
        <v/>
      </c>
      <c r="C24" s="0" t="str">
        <f aca="false">IF($A24="","",INDEX('Master Task List'!$B:$B,$A24))</f>
        <v/>
      </c>
      <c r="D24" s="0" t="str">
        <f aca="false">IF($A24="","",INDEX('Master Task List'!$G:$G,$A24))</f>
        <v/>
      </c>
      <c r="E24" s="0" t="str">
        <f aca="false">IF($A24="","",INDEX('Master Task List'!$I:$I,$A24))</f>
        <v/>
      </c>
    </row>
    <row r="25" customFormat="false" ht="15" hidden="false" customHeight="false" outlineLevel="0" collapsed="false">
      <c r="A25" s="0" t="str">
        <f aca="false">IFERROR(SMALL('Master Task List'!$W$2:$W$600,2),"")</f>
        <v/>
      </c>
      <c r="B25" s="0" t="str">
        <f aca="false">IF($A25="","",INDEX('Master Task List'!$D:$D,$A25))</f>
        <v/>
      </c>
      <c r="C25" s="0" t="str">
        <f aca="false">IF($A25="","",INDEX('Master Task List'!$B:$B,$A25))</f>
        <v/>
      </c>
      <c r="D25" s="0" t="str">
        <f aca="false">IF($A25="","",INDEX('Master Task List'!$G:$G,$A25))</f>
        <v/>
      </c>
      <c r="E25" s="0" t="str">
        <f aca="false">IF($A25="","",INDEX('Master Task List'!$I:$I,$A25))</f>
        <v/>
      </c>
    </row>
    <row r="26" customFormat="false" ht="15" hidden="false" customHeight="false" outlineLevel="0" collapsed="false">
      <c r="A26" s="0" t="str">
        <f aca="false">IFERROR(SMALL('Master Task List'!$W$2:$W$600,3),"")</f>
        <v/>
      </c>
      <c r="B26" s="0" t="str">
        <f aca="false">IF($A26="","",INDEX('Master Task List'!$D:$D,$A26))</f>
        <v/>
      </c>
      <c r="C26" s="0" t="str">
        <f aca="false">IF($A26="","",INDEX('Master Task List'!$B:$B,$A26))</f>
        <v/>
      </c>
      <c r="D26" s="0" t="str">
        <f aca="false">IF($A26="","",INDEX('Master Task List'!$G:$G,$A26))</f>
        <v/>
      </c>
      <c r="E26" s="0" t="str">
        <f aca="false">IF($A26="","",INDEX('Master Task List'!$I:$I,$A26))</f>
        <v/>
      </c>
    </row>
    <row r="27" customFormat="false" ht="15" hidden="false" customHeight="false" outlineLevel="0" collapsed="false">
      <c r="A27" s="0" t="str">
        <f aca="false">IFERROR(SMALL('Master Task List'!$W$2:$W$600,4),"")</f>
        <v/>
      </c>
      <c r="B27" s="0" t="str">
        <f aca="false">IF($A27="","",INDEX('Master Task List'!$D:$D,$A27))</f>
        <v/>
      </c>
      <c r="C27" s="0" t="str">
        <f aca="false">IF($A27="","",INDEX('Master Task List'!$B:$B,$A27))</f>
        <v/>
      </c>
      <c r="D27" s="0" t="str">
        <f aca="false">IF($A27="","",INDEX('Master Task List'!$G:$G,$A27))</f>
        <v/>
      </c>
      <c r="E27" s="0" t="str">
        <f aca="false">IF($A27="","",INDEX('Master Task List'!$I:$I,$A27))</f>
        <v/>
      </c>
    </row>
    <row r="28" customFormat="false" ht="15" hidden="false" customHeight="false" outlineLevel="0" collapsed="false">
      <c r="A28" s="0" t="str">
        <f aca="false">IFERROR(SMALL('Master Task List'!$W$2:$W$600,5),"")</f>
        <v/>
      </c>
      <c r="B28" s="0" t="str">
        <f aca="false">IF($A28="","",INDEX('Master Task List'!$D:$D,$A28))</f>
        <v/>
      </c>
      <c r="C28" s="0" t="str">
        <f aca="false">IF($A28="","",INDEX('Master Task List'!$B:$B,$A28))</f>
        <v/>
      </c>
      <c r="D28" s="0" t="str">
        <f aca="false">IF($A28="","",INDEX('Master Task List'!$G:$G,$A28))</f>
        <v/>
      </c>
      <c r="E28" s="0" t="str">
        <f aca="false">IF($A28="","",INDEX('Master Task List'!$I:$I,$A28))</f>
        <v/>
      </c>
    </row>
    <row r="29" customFormat="false" ht="15" hidden="false" customHeight="false" outlineLevel="0" collapsed="false">
      <c r="A29" s="0" t="str">
        <f aca="false">IFERROR(SMALL('Master Task List'!$W$2:$W$600,6),"")</f>
        <v/>
      </c>
      <c r="B29" s="0" t="str">
        <f aca="false">IF($A29="","",INDEX('Master Task List'!$D:$D,$A29))</f>
        <v/>
      </c>
      <c r="C29" s="0" t="str">
        <f aca="false">IF($A29="","",INDEX('Master Task List'!$B:$B,$A29))</f>
        <v/>
      </c>
      <c r="D29" s="0" t="str">
        <f aca="false">IF($A29="","",INDEX('Master Task List'!$G:$G,$A29))</f>
        <v/>
      </c>
      <c r="E29" s="0" t="str">
        <f aca="false">IF($A29="","",INDEX('Master Task List'!$I:$I,$A29))</f>
        <v/>
      </c>
    </row>
    <row r="31" customFormat="false" ht="19.5" hidden="false" customHeight="true" outlineLevel="0" collapsed="false">
      <c r="A31" s="54" t="s">
        <v>568</v>
      </c>
      <c r="B31" s="54"/>
      <c r="C31" s="54"/>
      <c r="D31" s="54"/>
      <c r="E31" s="54"/>
    </row>
    <row r="32" customFormat="false" ht="18" hidden="false" customHeight="true" outlineLevel="0" collapsed="false">
      <c r="B32" s="36" t="s">
        <v>484</v>
      </c>
      <c r="C32" s="36" t="s">
        <v>494</v>
      </c>
      <c r="D32" s="36" t="s">
        <v>66</v>
      </c>
      <c r="E32" s="36" t="s">
        <v>495</v>
      </c>
    </row>
    <row r="33" customFormat="false" ht="15" hidden="false" customHeight="false" outlineLevel="0" collapsed="false">
      <c r="A33" s="0" t="n">
        <f aca="false">IFERROR(SMALL(Milestones!$J$2:$J$9,1),"")</f>
        <v>4</v>
      </c>
      <c r="B33" s="0" t="str">
        <f aca="false">IF($A33="","",INDEX(Milestones!$A:$A,$A33))</f>
        <v>إصدار النسخة التجريبية الأولى (Alpha)</v>
      </c>
      <c r="C33" s="38" t="n">
        <f aca="false">IF($A33="","",INDEX(Milestones!$C:$C,$A33))</f>
        <v>46249</v>
      </c>
      <c r="D33" s="0" t="str">
        <f aca="false">IF($A33="","",INDEX(Milestones!$E:$E,$A33))</f>
        <v>فيصل المطيري</v>
      </c>
      <c r="E33" s="37" t="n">
        <f aca="false">IF($A33="","",INDEX(Milestones!$F:$F,$A33))</f>
        <v>0.683333333333333</v>
      </c>
    </row>
    <row r="34" customFormat="false" ht="15" hidden="false" customHeight="false" outlineLevel="0" collapsed="false">
      <c r="A34" s="0" t="str">
        <f aca="false">IFERROR(SMALL(Milestones!$J$2:$J$9,2),"")</f>
        <v/>
      </c>
      <c r="B34" s="0" t="str">
        <f aca="false">IF($A34="","",INDEX(Milestones!$A:$A,$A34))</f>
        <v/>
      </c>
      <c r="C34" s="38" t="str">
        <f aca="false">IF($A34="","",INDEX(Milestones!$C:$C,$A34))</f>
        <v/>
      </c>
      <c r="D34" s="0" t="str">
        <f aca="false">IF($A34="","",INDEX(Milestones!$E:$E,$A34))</f>
        <v/>
      </c>
      <c r="E34" s="37" t="str">
        <f aca="false">IF($A34="","",INDEX(Milestones!$F:$F,$A34))</f>
        <v/>
      </c>
    </row>
    <row r="35" customFormat="false" ht="15" hidden="false" customHeight="false" outlineLevel="0" collapsed="false">
      <c r="A35" s="0" t="str">
        <f aca="false">IFERROR(SMALL(Milestones!$J$2:$J$9,3),"")</f>
        <v/>
      </c>
      <c r="B35" s="0" t="str">
        <f aca="false">IF($A35="","",INDEX(Milestones!$A:$A,$A35))</f>
        <v/>
      </c>
      <c r="C35" s="38" t="str">
        <f aca="false">IF($A35="","",INDEX(Milestones!$C:$C,$A35))</f>
        <v/>
      </c>
      <c r="D35" s="0" t="str">
        <f aca="false">IF($A35="","",INDEX(Milestones!$E:$E,$A35))</f>
        <v/>
      </c>
      <c r="E35" s="37" t="str">
        <f aca="false">IF($A35="","",INDEX(Milestones!$F:$F,$A35))</f>
        <v/>
      </c>
    </row>
    <row r="36" customFormat="false" ht="15" hidden="false" customHeight="false" outlineLevel="0" collapsed="false">
      <c r="A36" s="0" t="str">
        <f aca="false">IFERROR(SMALL(Milestones!$J$2:$J$9,4),"")</f>
        <v/>
      </c>
      <c r="B36" s="0" t="str">
        <f aca="false">IF($A36="","",INDEX(Milestones!$A:$A,$A36))</f>
        <v/>
      </c>
      <c r="C36" s="38" t="str">
        <f aca="false">IF($A36="","",INDEX(Milestones!$C:$C,$A36))</f>
        <v/>
      </c>
      <c r="D36" s="0" t="str">
        <f aca="false">IF($A36="","",INDEX(Milestones!$E:$E,$A36))</f>
        <v/>
      </c>
      <c r="E36" s="37" t="str">
        <f aca="false">IF($A36="","",INDEX(Milestones!$F:$F,$A36))</f>
        <v/>
      </c>
    </row>
    <row r="37" customFormat="false" ht="15" hidden="false" customHeight="false" outlineLevel="0" collapsed="false">
      <c r="A37" s="0" t="str">
        <f aca="false">IFERROR(SMALL(Milestones!$J$2:$J$9,5),"")</f>
        <v/>
      </c>
      <c r="B37" s="0" t="str">
        <f aca="false">IF($A37="","",INDEX(Milestones!$A:$A,$A37))</f>
        <v/>
      </c>
      <c r="C37" s="38" t="str">
        <f aca="false">IF($A37="","",INDEX(Milestones!$C:$C,$A37))</f>
        <v/>
      </c>
      <c r="D37" s="0" t="str">
        <f aca="false">IF($A37="","",INDEX(Milestones!$E:$E,$A37))</f>
        <v/>
      </c>
      <c r="E37" s="37" t="str">
        <f aca="false">IF($A37="","",INDEX(Milestones!$F:$F,$A37))</f>
        <v/>
      </c>
    </row>
    <row r="39" customFormat="false" ht="19.5" hidden="false" customHeight="true" outlineLevel="0" collapsed="false">
      <c r="A39" s="55" t="s">
        <v>569</v>
      </c>
      <c r="B39" s="55"/>
      <c r="C39" s="55"/>
      <c r="D39" s="55"/>
      <c r="E39" s="55"/>
    </row>
    <row r="40" customFormat="false" ht="18" hidden="false" customHeight="true" outlineLevel="0" collapsed="false">
      <c r="B40" s="36" t="s">
        <v>521</v>
      </c>
      <c r="C40" s="36" t="s">
        <v>524</v>
      </c>
      <c r="D40" s="36" t="s">
        <v>66</v>
      </c>
      <c r="E40" s="36" t="s">
        <v>68</v>
      </c>
    </row>
    <row r="41" customFormat="false" ht="15" hidden="false" customHeight="false" outlineLevel="0" collapsed="false">
      <c r="A41" s="0" t="n">
        <f aca="false">IFERROR(LARGE('Risk Register'!$H$2:$H$11,1),"")</f>
        <v>20.000998</v>
      </c>
      <c r="B41" s="0" t="str">
        <f aca="false">IF($A41="","",INDEX('Risk Register'!$A:$A,MATCH($A41,'Risk Register'!$H:$H,0)))</f>
        <v>تأخر تكامل الأنظمة مع الموردين الخارجيين للتحقق من الضمانات</v>
      </c>
      <c r="C41" s="0" t="n">
        <f aca="false">IF($A41="","",INDEX('Risk Register'!$D:$D,MATCH($A41,'Risk Register'!$H:$H,0)))</f>
        <v>20</v>
      </c>
      <c r="D41" s="0" t="str">
        <f aca="false">IF($A41="","",INDEX('Risk Register'!$F:$F,MATCH($A41,'Risk Register'!$H:$H,0)))</f>
        <v>خالد الغامدي</v>
      </c>
      <c r="E41" s="0" t="str">
        <f aca="false">IF($A41="","",INDEX('Risk Register'!$G:$G,MATCH($A41,'Risk Register'!$H:$H,0)))</f>
        <v>Open</v>
      </c>
    </row>
    <row r="42" customFormat="false" ht="15" hidden="false" customHeight="false" outlineLevel="0" collapsed="false">
      <c r="A42" s="0" t="n">
        <f aca="false">IFERROR(LARGE('Risk Register'!$H$2:$H$11,2),"")</f>
        <v>12.000997</v>
      </c>
      <c r="B42" s="0" t="str">
        <f aca="false">IF($A42="","",INDEX('Risk Register'!$A:$A,MATCH($A42,'Risk Register'!$H:$H,0)))</f>
        <v>نقص بيانات تدريب نموذج الذكاء الاصطناعي (OCR)</v>
      </c>
      <c r="C42" s="0" t="n">
        <f aca="false">IF($A42="","",INDEX('Risk Register'!$D:$D,MATCH($A42,'Risk Register'!$H:$H,0)))</f>
        <v>12</v>
      </c>
      <c r="D42" s="0" t="str">
        <f aca="false">IF($A42="","",INDEX('Risk Register'!$F:$F,MATCH($A42,'Risk Register'!$H:$H,0)))</f>
        <v>منيرة القرني</v>
      </c>
      <c r="E42" s="0" t="str">
        <f aca="false">IF($A42="","",INDEX('Risk Register'!$G:$G,MATCH($A42,'Risk Register'!$H:$H,0)))</f>
        <v>Open</v>
      </c>
    </row>
    <row r="43" customFormat="false" ht="15" hidden="false" customHeight="false" outlineLevel="0" collapsed="false">
      <c r="A43" s="0" t="n">
        <f aca="false">IFERROR(LARGE('Risk Register'!$H$2:$H$11,3),"")</f>
        <v>12.000995</v>
      </c>
      <c r="B43" s="0" t="str">
        <f aca="false">IF($A43="","",INDEX('Risk Register'!$A:$A,MATCH($A43,'Risk Register'!$H:$H,0)))</f>
        <v>تأخر اعتماد التوافق مع نظام حماية البيانات الشخصية</v>
      </c>
      <c r="C43" s="0" t="n">
        <f aca="false">IF($A43="","",INDEX('Risk Register'!$D:$D,MATCH($A43,'Risk Register'!$H:$H,0)))</f>
        <v>12</v>
      </c>
      <c r="D43" s="0" t="str">
        <f aca="false">IF($A43="","",INDEX('Risk Register'!$F:$F,MATCH($A43,'Risk Register'!$H:$H,0)))</f>
        <v>ياسر الأحمدي</v>
      </c>
      <c r="E43" s="0" t="str">
        <f aca="false">IF($A43="","",INDEX('Risk Register'!$G:$G,MATCH($A43,'Risk Register'!$H:$H,0)))</f>
        <v>Open</v>
      </c>
    </row>
  </sheetData>
  <mergeCells count="5">
    <mergeCell ref="A1:G1"/>
    <mergeCell ref="A13:E13"/>
    <mergeCell ref="A22:E22"/>
    <mergeCell ref="A31:E31"/>
    <mergeCell ref="A39:E39"/>
  </mergeCells>
  <conditionalFormatting sqref="C9">
    <cfRule type="cellIs" priority="2" operator="greaterThan" aboveAverage="0" equalAverage="0" bottom="0" percent="0" rank="0" text="" dxfId="19">
      <formula>0</formula>
    </cfRule>
  </conditionalFormatting>
  <conditionalFormatting sqref="C10">
    <cfRule type="cellIs" priority="3" operator="greaterThan" aboveAverage="0" equalAverage="0" bottom="0" percent="0" rank="0" text="" dxfId="2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4"/>
    <col collapsed="false" customWidth="true" hidden="true" outlineLevel="0" max="9" min="9" style="0" width="13"/>
  </cols>
  <sheetData>
    <row r="1" customFormat="false" ht="25.5" hidden="false" customHeight="true" outlineLevel="0" collapsed="false">
      <c r="A1" s="1" t="s">
        <v>570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B2" s="33" t="s">
        <v>571</v>
      </c>
    </row>
    <row r="4" customFormat="false" ht="21.75" hidden="false" customHeight="true" outlineLevel="0" collapsed="false">
      <c r="B4" s="56" t="s">
        <v>572</v>
      </c>
      <c r="C4" s="56"/>
      <c r="D4" s="56"/>
      <c r="E4" s="56"/>
      <c r="F4" s="56"/>
      <c r="G4" s="56"/>
    </row>
    <row r="5" customFormat="false" ht="18" hidden="false" customHeight="true" outlineLevel="0" collapsed="false">
      <c r="B5" s="36" t="s">
        <v>61</v>
      </c>
      <c r="C5" s="36" t="s">
        <v>573</v>
      </c>
      <c r="D5" s="36" t="s">
        <v>574</v>
      </c>
      <c r="E5" s="36" t="s">
        <v>495</v>
      </c>
      <c r="F5" s="36" t="s">
        <v>575</v>
      </c>
      <c r="G5" s="36" t="s">
        <v>65</v>
      </c>
    </row>
    <row r="6" customFormat="false" ht="15" hidden="false" customHeight="false" outlineLevel="0" collapsed="false">
      <c r="B6" s="2" t="s">
        <v>86</v>
      </c>
      <c r="C6" s="57" t="s">
        <v>576</v>
      </c>
      <c r="D6" s="0" t="str">
        <f aca="false">_xlfn.IFS($I6&lt;DATE(2026,4,1),"Q1 2026",$I6&lt;DATE(2026,7,1),"Q2 2026",$I6&lt;DATE(2026,10,1),"Q3 2026",$I6&lt;DATE(2027,1,1),"Q4 2026",$I6&lt;DATE(2027,4,1),"Q1 2027",TRUE(),"Q2 2027+")</f>
        <v>Q1 2026</v>
      </c>
      <c r="E6" s="37" t="n">
        <f aca="false">IFERROR(AVERAGEIFS('Master Task List'!$J:$J,'Master Task List'!$B:$B,$B6),0)</f>
        <v>1</v>
      </c>
      <c r="F6" s="3" t="s">
        <v>91</v>
      </c>
      <c r="G6" s="0" t="s">
        <v>90</v>
      </c>
      <c r="I6" s="3" t="n">
        <f aca="false">_xlfn.MINIFS('Master Task List'!$K:$K,'Master Task List'!$B:$B,$B6)</f>
        <v>46027</v>
      </c>
    </row>
    <row r="7" customFormat="false" ht="15" hidden="false" customHeight="false" outlineLevel="0" collapsed="false">
      <c r="B7" s="2" t="s">
        <v>103</v>
      </c>
      <c r="C7" s="57" t="s">
        <v>577</v>
      </c>
      <c r="D7" s="0" t="str">
        <f aca="false">_xlfn.IFS($I7&lt;DATE(2026,4,1),"Q1 2026",$I7&lt;DATE(2026,7,1),"Q2 2026",$I7&lt;DATE(2026,10,1),"Q3 2026",$I7&lt;DATE(2027,1,1),"Q4 2026",$I7&lt;DATE(2027,4,1),"Q1 2027",TRUE(),"Q2 2027+")</f>
        <v>Q1 2026</v>
      </c>
      <c r="E7" s="37" t="n">
        <f aca="false">IFERROR(AVERAGEIFS('Master Task List'!$J:$J,'Master Task List'!$B:$B,$B7),0)</f>
        <v>1</v>
      </c>
      <c r="F7" s="3" t="s">
        <v>107</v>
      </c>
      <c r="G7" s="0" t="s">
        <v>90</v>
      </c>
      <c r="I7" s="3" t="n">
        <f aca="false">_xlfn.MINIFS('Master Task List'!$K:$K,'Master Task List'!$B:$B,$B7)</f>
        <v>46042</v>
      </c>
    </row>
    <row r="8" customFormat="false" ht="15" hidden="false" customHeight="false" outlineLevel="0" collapsed="false">
      <c r="B8" s="2" t="s">
        <v>116</v>
      </c>
      <c r="C8" s="57" t="s">
        <v>578</v>
      </c>
      <c r="D8" s="0" t="str">
        <f aca="false">_xlfn.IFS($I8&lt;DATE(2026,4,1),"Q1 2026",$I8&lt;DATE(2026,7,1),"Q2 2026",$I8&lt;DATE(2026,10,1),"Q3 2026",$I8&lt;DATE(2027,1,1),"Q4 2026",$I8&lt;DATE(2027,4,1),"Q1 2027",TRUE(),"Q2 2027+")</f>
        <v>Q1 2026</v>
      </c>
      <c r="E8" s="37" t="n">
        <f aca="false">IFERROR(AVERAGEIFS('Master Task List'!$J:$J,'Master Task List'!$B:$B,$B8),0)</f>
        <v>1</v>
      </c>
      <c r="F8" s="3" t="s">
        <v>120</v>
      </c>
      <c r="G8" s="0" t="s">
        <v>97</v>
      </c>
      <c r="I8" s="3" t="n">
        <f aca="false">_xlfn.MINIFS('Master Task List'!$K:$K,'Master Task List'!$B:$B,$B8)</f>
        <v>46073</v>
      </c>
    </row>
    <row r="9" customFormat="false" ht="15" hidden="false" customHeight="false" outlineLevel="0" collapsed="false">
      <c r="B9" s="2" t="s">
        <v>131</v>
      </c>
      <c r="C9" s="57" t="s">
        <v>579</v>
      </c>
      <c r="D9" s="0" t="str">
        <f aca="false">_xlfn.IFS($I9&lt;DATE(2026,4,1),"Q1 2026",$I9&lt;DATE(2026,7,1),"Q2 2026",$I9&lt;DATE(2026,10,1),"Q3 2026",$I9&lt;DATE(2027,1,1),"Q4 2026",$I9&lt;DATE(2027,4,1),"Q1 2027",TRUE(),"Q2 2027+")</f>
        <v>Q1 2026</v>
      </c>
      <c r="E9" s="37" t="n">
        <f aca="false">IFERROR(AVERAGEIFS('Master Task List'!$J:$J,'Master Task List'!$B:$B,$B9),0)</f>
        <v>1</v>
      </c>
      <c r="F9" s="3" t="s">
        <v>135</v>
      </c>
      <c r="G9" s="0" t="s">
        <v>90</v>
      </c>
      <c r="I9" s="3" t="n">
        <f aca="false">_xlfn.MINIFS('Master Task List'!$K:$K,'Master Task List'!$B:$B,$B9)</f>
        <v>46073</v>
      </c>
    </row>
    <row r="10" customFormat="false" ht="15" hidden="false" customHeight="false" outlineLevel="0" collapsed="false">
      <c r="B10" s="2" t="s">
        <v>326</v>
      </c>
      <c r="C10" s="57" t="s">
        <v>580</v>
      </c>
      <c r="D10" s="0" t="str">
        <f aca="false">_xlfn.IFS($I10&lt;DATE(2026,4,1),"Q1 2026",$I10&lt;DATE(2026,7,1),"Q2 2026",$I10&lt;DATE(2026,10,1),"Q3 2026",$I10&lt;DATE(2027,1,1),"Q4 2026",$I10&lt;DATE(2027,4,1),"Q1 2027",TRUE(),"Q2 2027+")</f>
        <v>Q1 2026</v>
      </c>
      <c r="E10" s="37" t="n">
        <f aca="false">IFERROR(AVERAGEIFS('Master Task List'!$J:$J,'Master Task List'!$B:$B,$B10),0)</f>
        <v>0.533333333333333</v>
      </c>
      <c r="F10" s="3" t="s">
        <v>188</v>
      </c>
      <c r="G10" s="0" t="s">
        <v>175</v>
      </c>
      <c r="I10" s="3" t="n">
        <f aca="false">_xlfn.MINIFS('Master Task List'!$K:$K,'Master Task List'!$B:$B,$B10)</f>
        <v>46103</v>
      </c>
    </row>
    <row r="11" customFormat="false" ht="15" hidden="false" customHeight="false" outlineLevel="0" collapsed="false">
      <c r="B11" s="2" t="s">
        <v>337</v>
      </c>
      <c r="C11" s="57" t="s">
        <v>581</v>
      </c>
      <c r="D11" s="0" t="str">
        <f aca="false">_xlfn.IFS($I11&lt;DATE(2026,4,1),"Q1 2026",$I11&lt;DATE(2026,7,1),"Q2 2026",$I11&lt;DATE(2026,10,1),"Q3 2026",$I11&lt;DATE(2027,1,1),"Q4 2026",$I11&lt;DATE(2027,4,1),"Q1 2027",TRUE(),"Q2 2027+")</f>
        <v>Q1 2026</v>
      </c>
      <c r="E11" s="37" t="n">
        <f aca="false">IFERROR(AVERAGEIFS('Master Task List'!$J:$J,'Master Task List'!$B:$B,$B11),0)</f>
        <v>0.466666666666667</v>
      </c>
      <c r="F11" s="3" t="s">
        <v>341</v>
      </c>
      <c r="G11" s="0" t="s">
        <v>175</v>
      </c>
      <c r="I11" s="3" t="n">
        <f aca="false">_xlfn.MINIFS('Master Task List'!$K:$K,'Master Task List'!$B:$B,$B11)</f>
        <v>46103</v>
      </c>
    </row>
    <row r="13" customFormat="false" ht="21.75" hidden="false" customHeight="true" outlineLevel="0" collapsed="false">
      <c r="B13" s="58" t="s">
        <v>582</v>
      </c>
      <c r="C13" s="58"/>
      <c r="D13" s="58"/>
      <c r="E13" s="58"/>
      <c r="F13" s="58"/>
      <c r="G13" s="58"/>
    </row>
    <row r="14" customFormat="false" ht="18" hidden="false" customHeight="true" outlineLevel="0" collapsed="false">
      <c r="B14" s="36" t="s">
        <v>61</v>
      </c>
      <c r="C14" s="36" t="s">
        <v>573</v>
      </c>
      <c r="D14" s="36" t="s">
        <v>574</v>
      </c>
      <c r="E14" s="36" t="s">
        <v>495</v>
      </c>
      <c r="F14" s="36" t="s">
        <v>575</v>
      </c>
      <c r="G14" s="36" t="s">
        <v>65</v>
      </c>
    </row>
    <row r="15" customFormat="false" ht="15" hidden="false" customHeight="false" outlineLevel="0" collapsed="false">
      <c r="B15" s="2" t="s">
        <v>144</v>
      </c>
      <c r="C15" s="57" t="s">
        <v>583</v>
      </c>
      <c r="D15" s="0" t="str">
        <f aca="false">_xlfn.IFS($I15&lt;DATE(2026,4,1),"Q1 2026",$I15&lt;DATE(2026,7,1),"Q2 2026",$I15&lt;DATE(2026,10,1),"Q3 2026",$I15&lt;DATE(2027,1,1),"Q4 2026",$I15&lt;DATE(2027,4,1),"Q1 2027",TRUE(),"Q2 2027+")</f>
        <v>Q2 2026</v>
      </c>
      <c r="E15" s="37" t="n">
        <f aca="false">IFERROR(AVERAGEIFS('Master Task List'!$J:$J,'Master Task List'!$B:$B,$B15),0)</f>
        <v>0.683333333333333</v>
      </c>
      <c r="F15" s="3" t="s">
        <v>148</v>
      </c>
      <c r="G15" s="0" t="s">
        <v>97</v>
      </c>
      <c r="I15" s="3" t="n">
        <f aca="false">_xlfn.MINIFS('Master Task List'!$K:$K,'Master Task List'!$B:$B,$B15)</f>
        <v>46118</v>
      </c>
    </row>
    <row r="16" customFormat="false" ht="15" hidden="false" customHeight="false" outlineLevel="0" collapsed="false">
      <c r="B16" s="2" t="s">
        <v>159</v>
      </c>
      <c r="C16" s="57" t="s">
        <v>584</v>
      </c>
      <c r="D16" s="0" t="str">
        <f aca="false">_xlfn.IFS($I16&lt;DATE(2026,4,1),"Q1 2026",$I16&lt;DATE(2026,7,1),"Q2 2026",$I16&lt;DATE(2026,10,1),"Q3 2026",$I16&lt;DATE(2027,1,1),"Q4 2026",$I16&lt;DATE(2027,4,1),"Q1 2027",TRUE(),"Q2 2027+")</f>
        <v>Q2 2026</v>
      </c>
      <c r="E16" s="37" t="n">
        <f aca="false">IFERROR(AVERAGEIFS('Master Task List'!$J:$J,'Master Task List'!$B:$B,$B16),0)</f>
        <v>0.683333333333333</v>
      </c>
      <c r="F16" s="3" t="s">
        <v>163</v>
      </c>
      <c r="G16" s="0" t="s">
        <v>97</v>
      </c>
      <c r="I16" s="3" t="n">
        <f aca="false">_xlfn.MINIFS('Master Task List'!$K:$K,'Master Task List'!$B:$B,$B16)</f>
        <v>46133</v>
      </c>
    </row>
    <row r="17" customFormat="false" ht="15" hidden="false" customHeight="false" outlineLevel="0" collapsed="false">
      <c r="B17" s="2" t="s">
        <v>171</v>
      </c>
      <c r="C17" s="57" t="s">
        <v>585</v>
      </c>
      <c r="D17" s="0" t="str">
        <f aca="false">_xlfn.IFS($I17&lt;DATE(2026,4,1),"Q1 2026",$I17&lt;DATE(2026,7,1),"Q2 2026",$I17&lt;DATE(2026,10,1),"Q3 2026",$I17&lt;DATE(2027,1,1),"Q4 2026",$I17&lt;DATE(2027,4,1),"Q1 2027",TRUE(),"Q2 2027+")</f>
        <v>Q2 2026</v>
      </c>
      <c r="E17" s="37" t="n">
        <f aca="false">IFERROR(AVERAGEIFS('Master Task List'!$J:$J,'Master Task List'!$B:$B,$B17),0)</f>
        <v>1</v>
      </c>
      <c r="F17" s="3" t="s">
        <v>176</v>
      </c>
      <c r="G17" s="0" t="s">
        <v>175</v>
      </c>
      <c r="I17" s="3" t="n">
        <f aca="false">_xlfn.MINIFS('Master Task List'!$K:$K,'Master Task List'!$B:$B,$B17)</f>
        <v>46118</v>
      </c>
    </row>
    <row r="18" customFormat="false" ht="15" hidden="false" customHeight="false" outlineLevel="0" collapsed="false">
      <c r="B18" s="2" t="s">
        <v>184</v>
      </c>
      <c r="C18" s="57" t="s">
        <v>586</v>
      </c>
      <c r="D18" s="0" t="str">
        <f aca="false">_xlfn.IFS($I18&lt;DATE(2026,4,1),"Q1 2026",$I18&lt;DATE(2026,7,1),"Q2 2026",$I18&lt;DATE(2026,10,1),"Q3 2026",$I18&lt;DATE(2027,1,1),"Q4 2026",$I18&lt;DATE(2027,4,1),"Q1 2027",TRUE(),"Q2 2027+")</f>
        <v>Q2 2026</v>
      </c>
      <c r="E18" s="37" t="n">
        <f aca="false">IFERROR(AVERAGEIFS('Master Task List'!$J:$J,'Master Task List'!$B:$B,$B18),0)</f>
        <v>0.883333333333333</v>
      </c>
      <c r="F18" s="3" t="s">
        <v>188</v>
      </c>
      <c r="G18" s="0" t="s">
        <v>97</v>
      </c>
      <c r="I18" s="3" t="n">
        <f aca="false">_xlfn.MINIFS('Master Task List'!$K:$K,'Master Task List'!$B:$B,$B18)</f>
        <v>46149</v>
      </c>
    </row>
    <row r="19" customFormat="false" ht="15" hidden="false" customHeight="false" outlineLevel="0" collapsed="false">
      <c r="B19" s="2" t="s">
        <v>197</v>
      </c>
      <c r="C19" s="57" t="s">
        <v>587</v>
      </c>
      <c r="D19" s="0" t="str">
        <f aca="false">_xlfn.IFS($I19&lt;DATE(2026,4,1),"Q1 2026",$I19&lt;DATE(2026,7,1),"Q2 2026",$I19&lt;DATE(2026,10,1),"Q3 2026",$I19&lt;DATE(2027,1,1),"Q4 2026",$I19&lt;DATE(2027,4,1),"Q1 2027",TRUE(),"Q2 2027+")</f>
        <v>Q2 2026</v>
      </c>
      <c r="E19" s="37" t="n">
        <f aca="false">IFERROR(AVERAGEIFS('Master Task List'!$J:$J,'Master Task List'!$B:$B,$B19),0)</f>
        <v>0.683333333333333</v>
      </c>
      <c r="F19" s="3" t="s">
        <v>176</v>
      </c>
      <c r="G19" s="0" t="s">
        <v>201</v>
      </c>
      <c r="I19" s="3" t="n">
        <f aca="false">_xlfn.MINIFS('Master Task List'!$K:$K,'Master Task List'!$B:$B,$B19)</f>
        <v>46164</v>
      </c>
    </row>
    <row r="20" customFormat="false" ht="15" hidden="false" customHeight="false" outlineLevel="0" collapsed="false">
      <c r="B20" s="2" t="s">
        <v>209</v>
      </c>
      <c r="C20" s="57" t="s">
        <v>588</v>
      </c>
      <c r="D20" s="0" t="str">
        <f aca="false">_xlfn.IFS($I20&lt;DATE(2026,4,1),"Q1 2026",$I20&lt;DATE(2026,7,1),"Q2 2026",$I20&lt;DATE(2026,10,1),"Q3 2026",$I20&lt;DATE(2027,1,1),"Q4 2026",$I20&lt;DATE(2027,4,1),"Q1 2027",TRUE(),"Q2 2027+")</f>
        <v>Q2 2026</v>
      </c>
      <c r="E20" s="37" t="n">
        <f aca="false">IFERROR(AVERAGEIFS('Master Task List'!$J:$J,'Master Task List'!$B:$B,$B20),0)</f>
        <v>0.333333333333333</v>
      </c>
      <c r="F20" s="3" t="s">
        <v>188</v>
      </c>
      <c r="G20" s="0" t="s">
        <v>201</v>
      </c>
      <c r="I20" s="3" t="n">
        <f aca="false">_xlfn.MINIFS('Master Task List'!$K:$K,'Master Task List'!$B:$B,$B20)</f>
        <v>46194</v>
      </c>
    </row>
    <row r="21" customFormat="false" ht="15" hidden="false" customHeight="false" outlineLevel="0" collapsed="false">
      <c r="B21" s="2" t="s">
        <v>315</v>
      </c>
      <c r="C21" s="57" t="s">
        <v>589</v>
      </c>
      <c r="D21" s="0" t="str">
        <f aca="false">_xlfn.IFS($I21&lt;DATE(2026,4,1),"Q1 2026",$I21&lt;DATE(2026,7,1),"Q2 2026",$I21&lt;DATE(2026,10,1),"Q3 2026",$I21&lt;DATE(2027,1,1),"Q4 2026",$I21&lt;DATE(2027,4,1),"Q1 2027",TRUE(),"Q2 2027+")</f>
        <v>Q2 2026</v>
      </c>
      <c r="E21" s="37" t="n">
        <f aca="false">IFERROR(AVERAGEIFS('Master Task List'!$J:$J,'Master Task List'!$B:$B,$B21),0)</f>
        <v>0.416666666666667</v>
      </c>
      <c r="F21" s="3" t="s">
        <v>176</v>
      </c>
      <c r="G21" s="0" t="s">
        <v>175</v>
      </c>
      <c r="I21" s="3" t="n">
        <f aca="false">_xlfn.MINIFS('Master Task List'!$K:$K,'Master Task List'!$B:$B,$B21)</f>
        <v>46133</v>
      </c>
    </row>
    <row r="22" customFormat="false" ht="15" hidden="false" customHeight="false" outlineLevel="0" collapsed="false">
      <c r="B22" s="2" t="s">
        <v>351</v>
      </c>
      <c r="C22" s="57" t="s">
        <v>590</v>
      </c>
      <c r="D22" s="0" t="str">
        <f aca="false">_xlfn.IFS($I22&lt;DATE(2026,4,1),"Q1 2026",$I22&lt;DATE(2026,7,1),"Q2 2026",$I22&lt;DATE(2026,10,1),"Q3 2026",$I22&lt;DATE(2027,1,1),"Q4 2026",$I22&lt;DATE(2027,4,1),"Q1 2027",TRUE(),"Q2 2027+")</f>
        <v>Q2 2026</v>
      </c>
      <c r="E22" s="37" t="n">
        <f aca="false">IFERROR(AVERAGEIFS('Master Task List'!$J:$J,'Master Task List'!$B:$B,$B22),0)</f>
        <v>0.283333333333333</v>
      </c>
      <c r="F22" s="3" t="s">
        <v>355</v>
      </c>
      <c r="G22" s="0" t="s">
        <v>201</v>
      </c>
      <c r="I22" s="3" t="n">
        <f aca="false">_xlfn.MINIFS('Master Task List'!$K:$K,'Master Task List'!$B:$B,$B22)</f>
        <v>46179</v>
      </c>
    </row>
    <row r="24" customFormat="false" ht="21.75" hidden="false" customHeight="true" outlineLevel="0" collapsed="false">
      <c r="B24" s="59" t="s">
        <v>591</v>
      </c>
      <c r="C24" s="59"/>
      <c r="D24" s="59"/>
      <c r="E24" s="59"/>
      <c r="F24" s="59"/>
      <c r="G24" s="59"/>
    </row>
    <row r="25" customFormat="false" ht="18" hidden="false" customHeight="true" outlineLevel="0" collapsed="false">
      <c r="B25" s="36" t="s">
        <v>61</v>
      </c>
      <c r="C25" s="36" t="s">
        <v>573</v>
      </c>
      <c r="D25" s="36" t="s">
        <v>574</v>
      </c>
      <c r="E25" s="36" t="s">
        <v>495</v>
      </c>
      <c r="F25" s="36" t="s">
        <v>575</v>
      </c>
      <c r="G25" s="36" t="s">
        <v>65</v>
      </c>
    </row>
    <row r="26" customFormat="false" ht="15" hidden="false" customHeight="false" outlineLevel="0" collapsed="false">
      <c r="B26" s="2" t="s">
        <v>221</v>
      </c>
      <c r="C26" s="57" t="s">
        <v>592</v>
      </c>
      <c r="D26" s="0" t="str">
        <f aca="false">_xlfn.IFS($I26&lt;DATE(2026,4,1),"Q1 2026",$I26&lt;DATE(2026,7,1),"Q2 2026",$I26&lt;DATE(2026,10,1),"Q3 2026",$I26&lt;DATE(2027,1,1),"Q4 2026",$I26&lt;DATE(2027,4,1),"Q1 2027",TRUE(),"Q2 2027+")</f>
        <v>Q3 2026</v>
      </c>
      <c r="E26" s="37" t="n">
        <f aca="false">IFERROR(AVERAGEIFS('Master Task List'!$J:$J,'Master Task List'!$B:$B,$B26),0)</f>
        <v>0.183333333333333</v>
      </c>
      <c r="F26" s="3" t="s">
        <v>176</v>
      </c>
      <c r="G26" s="0" t="s">
        <v>201</v>
      </c>
      <c r="I26" s="3" t="n">
        <f aca="false">_xlfn.MINIFS('Master Task List'!$K:$K,'Master Task List'!$B:$B,$B26)</f>
        <v>46225</v>
      </c>
    </row>
    <row r="27" customFormat="false" ht="15" hidden="false" customHeight="false" outlineLevel="0" collapsed="false">
      <c r="B27" s="2" t="s">
        <v>235</v>
      </c>
      <c r="C27" s="57" t="s">
        <v>593</v>
      </c>
      <c r="D27" s="0" t="str">
        <f aca="false">_xlfn.IFS($I27&lt;DATE(2026,4,1),"Q1 2026",$I27&lt;DATE(2026,7,1),"Q2 2026",$I27&lt;DATE(2026,10,1),"Q3 2026",$I27&lt;DATE(2027,1,1),"Q4 2026",$I27&lt;DATE(2027,4,1),"Q1 2027",TRUE(),"Q2 2027+")</f>
        <v>Q3 2026</v>
      </c>
      <c r="E27" s="37" t="n">
        <f aca="false">IFERROR(AVERAGEIFS('Master Task List'!$J:$J,'Master Task List'!$B:$B,$B27),0)</f>
        <v>0</v>
      </c>
      <c r="F27" s="3" t="s">
        <v>148</v>
      </c>
      <c r="G27" s="0" t="s">
        <v>97</v>
      </c>
      <c r="I27" s="3" t="n">
        <f aca="false">_xlfn.MINIFS('Master Task List'!$K:$K,'Master Task List'!$B:$B,$B27)</f>
        <v>46240</v>
      </c>
    </row>
    <row r="28" customFormat="false" ht="15" hidden="false" customHeight="false" outlineLevel="0" collapsed="false">
      <c r="B28" s="2" t="s">
        <v>246</v>
      </c>
      <c r="C28" s="57" t="s">
        <v>594</v>
      </c>
      <c r="D28" s="0" t="str">
        <f aca="false">_xlfn.IFS($I28&lt;DATE(2026,4,1),"Q1 2026",$I28&lt;DATE(2026,7,1),"Q2 2026",$I28&lt;DATE(2026,10,1),"Q3 2026",$I28&lt;DATE(2027,1,1),"Q4 2026",$I28&lt;DATE(2027,4,1),"Q1 2027",TRUE(),"Q2 2027+")</f>
        <v>Q3 2026</v>
      </c>
      <c r="E28" s="37" t="n">
        <f aca="false">IFERROR(AVERAGEIFS('Master Task List'!$J:$J,'Master Task List'!$B:$B,$B28),0)</f>
        <v>0</v>
      </c>
      <c r="F28" s="3" t="s">
        <v>188</v>
      </c>
      <c r="G28" s="0" t="s">
        <v>90</v>
      </c>
      <c r="I28" s="3" t="n">
        <f aca="false">_xlfn.MINIFS('Master Task List'!$K:$K,'Master Task List'!$B:$B,$B28)</f>
        <v>46255</v>
      </c>
    </row>
    <row r="29" customFormat="false" ht="15" hidden="false" customHeight="false" outlineLevel="0" collapsed="false">
      <c r="B29" s="2" t="s">
        <v>257</v>
      </c>
      <c r="C29" s="57" t="s">
        <v>595</v>
      </c>
      <c r="D29" s="0" t="str">
        <f aca="false">_xlfn.IFS($I29&lt;DATE(2026,4,1),"Q1 2026",$I29&lt;DATE(2026,7,1),"Q2 2026",$I29&lt;DATE(2026,10,1),"Q3 2026",$I29&lt;DATE(2027,1,1),"Q4 2026",$I29&lt;DATE(2027,4,1),"Q1 2027",TRUE(),"Q2 2027+")</f>
        <v>Q3 2026</v>
      </c>
      <c r="E29" s="37" t="n">
        <f aca="false">IFERROR(AVERAGEIFS('Master Task List'!$J:$J,'Master Task List'!$B:$B,$B29),0)</f>
        <v>0</v>
      </c>
      <c r="F29" s="3" t="s">
        <v>163</v>
      </c>
      <c r="G29" s="0" t="s">
        <v>97</v>
      </c>
      <c r="I29" s="3" t="n">
        <f aca="false">_xlfn.MINIFS('Master Task List'!$K:$K,'Master Task List'!$B:$B,$B29)</f>
        <v>46270</v>
      </c>
    </row>
    <row r="30" customFormat="false" ht="15" hidden="false" customHeight="false" outlineLevel="0" collapsed="false">
      <c r="B30" s="2" t="s">
        <v>268</v>
      </c>
      <c r="C30" s="57" t="s">
        <v>596</v>
      </c>
      <c r="D30" s="0" t="str">
        <f aca="false">_xlfn.IFS($I30&lt;DATE(2026,4,1),"Q1 2026",$I30&lt;DATE(2026,7,1),"Q2 2026",$I30&lt;DATE(2026,10,1),"Q3 2026",$I30&lt;DATE(2027,1,1),"Q4 2026",$I30&lt;DATE(2027,4,1),"Q1 2027",TRUE(),"Q2 2027+")</f>
        <v>Q3 2026</v>
      </c>
      <c r="E30" s="37" t="n">
        <f aca="false">IFERROR(AVERAGEIFS('Master Task List'!$J:$J,'Master Task List'!$B:$B,$B30),0)</f>
        <v>0</v>
      </c>
      <c r="F30" s="3" t="s">
        <v>272</v>
      </c>
      <c r="G30" s="0" t="s">
        <v>97</v>
      </c>
      <c r="I30" s="3" t="n">
        <f aca="false">_xlfn.MINIFS('Master Task List'!$K:$K,'Master Task List'!$B:$B,$B30)</f>
        <v>46285</v>
      </c>
    </row>
    <row r="31" customFormat="false" ht="15" hidden="false" customHeight="false" outlineLevel="0" collapsed="false">
      <c r="B31" s="2" t="s">
        <v>304</v>
      </c>
      <c r="C31" s="57" t="s">
        <v>597</v>
      </c>
      <c r="D31" s="0" t="str">
        <f aca="false">_xlfn.IFS($I31&lt;DATE(2026,4,1),"Q1 2026",$I31&lt;DATE(2026,7,1),"Q2 2026",$I31&lt;DATE(2026,10,1),"Q3 2026",$I31&lt;DATE(2027,1,1),"Q4 2026",$I31&lt;DATE(2027,4,1),"Q1 2027",TRUE(),"Q2 2027+")</f>
        <v>Q3 2026</v>
      </c>
      <c r="E31" s="37" t="n">
        <f aca="false">IFERROR(AVERAGEIFS('Master Task List'!$J:$J,'Master Task List'!$B:$B,$B31),0)</f>
        <v>0</v>
      </c>
      <c r="F31" s="3" t="s">
        <v>163</v>
      </c>
      <c r="G31" s="0" t="s">
        <v>97</v>
      </c>
      <c r="I31" s="3" t="n">
        <f aca="false">_xlfn.MINIFS('Master Task List'!$K:$K,'Master Task List'!$B:$B,$B31)</f>
        <v>46285</v>
      </c>
    </row>
    <row r="32" customFormat="false" ht="15" hidden="false" customHeight="false" outlineLevel="0" collapsed="false">
      <c r="B32" s="2" t="s">
        <v>423</v>
      </c>
      <c r="C32" s="57" t="s">
        <v>598</v>
      </c>
      <c r="D32" s="0" t="str">
        <f aca="false">_xlfn.IFS($I32&lt;DATE(2026,4,1),"Q1 2026",$I32&lt;DATE(2026,7,1),"Q2 2026",$I32&lt;DATE(2026,10,1),"Q3 2026",$I32&lt;DATE(2027,1,1),"Q4 2026",$I32&lt;DATE(2027,4,1),"Q1 2027",TRUE(),"Q2 2027+")</f>
        <v>Q3 2026</v>
      </c>
      <c r="E32" s="37" t="n">
        <f aca="false">IFERROR(AVERAGEIFS('Master Task List'!$J:$J,'Master Task List'!$B:$B,$B32),0)</f>
        <v>0</v>
      </c>
      <c r="F32" s="3" t="s">
        <v>412</v>
      </c>
      <c r="G32" s="0" t="s">
        <v>175</v>
      </c>
      <c r="I32" s="3" t="n">
        <f aca="false">_xlfn.MINIFS('Master Task List'!$K:$K,'Master Task List'!$B:$B,$B32)</f>
        <v>46270</v>
      </c>
    </row>
    <row r="34" customFormat="false" ht="21.75" hidden="false" customHeight="true" outlineLevel="0" collapsed="false">
      <c r="B34" s="60" t="s">
        <v>599</v>
      </c>
      <c r="C34" s="60"/>
      <c r="D34" s="60"/>
      <c r="E34" s="60"/>
      <c r="F34" s="60"/>
      <c r="G34" s="60"/>
    </row>
    <row r="35" customFormat="false" ht="18" hidden="false" customHeight="true" outlineLevel="0" collapsed="false">
      <c r="B35" s="36" t="s">
        <v>61</v>
      </c>
      <c r="C35" s="36" t="s">
        <v>573</v>
      </c>
      <c r="D35" s="36" t="s">
        <v>574</v>
      </c>
      <c r="E35" s="36" t="s">
        <v>495</v>
      </c>
      <c r="F35" s="36" t="s">
        <v>575</v>
      </c>
      <c r="G35" s="36" t="s">
        <v>65</v>
      </c>
    </row>
    <row r="36" customFormat="false" ht="15" hidden="false" customHeight="false" outlineLevel="0" collapsed="false">
      <c r="B36" s="2" t="s">
        <v>281</v>
      </c>
      <c r="C36" s="57" t="s">
        <v>600</v>
      </c>
      <c r="D36" s="0" t="str">
        <f aca="false">_xlfn.IFS($I36&lt;DATE(2026,4,1),"Q1 2026",$I36&lt;DATE(2026,7,1),"Q2 2026",$I36&lt;DATE(2026,10,1),"Q3 2026",$I36&lt;DATE(2027,1,1),"Q4 2026",$I36&lt;DATE(2027,4,1),"Q1 2027",TRUE(),"Q2 2027+")</f>
        <v>Q4 2026</v>
      </c>
      <c r="E36" s="37" t="n">
        <f aca="false">IFERROR(AVERAGEIFS('Master Task List'!$J:$J,'Master Task List'!$B:$B,$B36),0)</f>
        <v>0</v>
      </c>
      <c r="F36" s="3" t="s">
        <v>272</v>
      </c>
      <c r="G36" s="0" t="s">
        <v>97</v>
      </c>
      <c r="I36" s="3" t="n">
        <f aca="false">_xlfn.MINIFS('Master Task List'!$K:$K,'Master Task List'!$B:$B,$B36)</f>
        <v>46301</v>
      </c>
    </row>
    <row r="37" customFormat="false" ht="15" hidden="false" customHeight="false" outlineLevel="0" collapsed="false">
      <c r="B37" s="2" t="s">
        <v>292</v>
      </c>
      <c r="C37" s="57" t="s">
        <v>601</v>
      </c>
      <c r="D37" s="0" t="str">
        <f aca="false">_xlfn.IFS($I37&lt;DATE(2026,4,1),"Q1 2026",$I37&lt;DATE(2026,7,1),"Q2 2026",$I37&lt;DATE(2026,10,1),"Q3 2026",$I37&lt;DATE(2027,1,1),"Q4 2026",$I37&lt;DATE(2027,4,1),"Q1 2027",TRUE(),"Q2 2027+")</f>
        <v>Q4 2026</v>
      </c>
      <c r="E37" s="37" t="n">
        <f aca="false">IFERROR(AVERAGEIFS('Master Task List'!$J:$J,'Master Task List'!$B:$B,$B37),0)</f>
        <v>0.133333333333333</v>
      </c>
      <c r="F37" s="3" t="s">
        <v>272</v>
      </c>
      <c r="G37" s="0" t="s">
        <v>175</v>
      </c>
      <c r="I37" s="3" t="n">
        <f aca="false">_xlfn.MINIFS('Master Task List'!$K:$K,'Master Task List'!$B:$B,$B37)</f>
        <v>46316</v>
      </c>
    </row>
    <row r="38" customFormat="false" ht="15" hidden="false" customHeight="false" outlineLevel="0" collapsed="false">
      <c r="B38" s="2" t="s">
        <v>150</v>
      </c>
      <c r="C38" s="57" t="s">
        <v>602</v>
      </c>
      <c r="D38" s="0" t="str">
        <f aca="false">_xlfn.IFS($I38&lt;DATE(2026,4,1),"Q1 2026",$I38&lt;DATE(2026,7,1),"Q2 2026",$I38&lt;DATE(2026,10,1),"Q3 2026",$I38&lt;DATE(2027,1,1),"Q4 2026",$I38&lt;DATE(2027,4,1),"Q1 2027",TRUE(),"Q2 2027+")</f>
        <v>Q4 2026</v>
      </c>
      <c r="E38" s="37" t="n">
        <f aca="false">IFERROR(AVERAGEIFS('Master Task List'!$J:$J,'Master Task List'!$B:$B,$B38),0)</f>
        <v>0</v>
      </c>
      <c r="F38" s="3" t="s">
        <v>366</v>
      </c>
      <c r="G38" s="0" t="s">
        <v>175</v>
      </c>
      <c r="I38" s="3" t="n">
        <f aca="false">_xlfn.MINIFS('Master Task List'!$K:$K,'Master Task List'!$B:$B,$B38)</f>
        <v>46331</v>
      </c>
    </row>
    <row r="39" customFormat="false" ht="15" hidden="false" customHeight="false" outlineLevel="0" collapsed="false">
      <c r="B39" s="2" t="s">
        <v>375</v>
      </c>
      <c r="C39" s="57" t="s">
        <v>603</v>
      </c>
      <c r="D39" s="0" t="str">
        <f aca="false">_xlfn.IFS($I39&lt;DATE(2026,4,1),"Q1 2026",$I39&lt;DATE(2026,7,1),"Q2 2026",$I39&lt;DATE(2026,10,1),"Q3 2026",$I39&lt;DATE(2027,1,1),"Q4 2026",$I39&lt;DATE(2027,4,1),"Q1 2027",TRUE(),"Q2 2027+")</f>
        <v>Q4 2026</v>
      </c>
      <c r="E39" s="37" t="n">
        <f aca="false">IFERROR(AVERAGEIFS('Master Task List'!$J:$J,'Master Task List'!$B:$B,$B39),0)</f>
        <v>0</v>
      </c>
      <c r="F39" s="3" t="s">
        <v>366</v>
      </c>
      <c r="G39" s="0" t="s">
        <v>97</v>
      </c>
      <c r="I39" s="3" t="n">
        <f aca="false">_xlfn.MINIFS('Master Task List'!$K:$K,'Master Task List'!$B:$B,$B39)</f>
        <v>46346</v>
      </c>
    </row>
    <row r="40" customFormat="false" ht="15" hidden="false" customHeight="false" outlineLevel="0" collapsed="false">
      <c r="B40" s="2" t="s">
        <v>386</v>
      </c>
      <c r="C40" s="57" t="s">
        <v>604</v>
      </c>
      <c r="D40" s="0" t="str">
        <f aca="false">_xlfn.IFS($I40&lt;DATE(2026,4,1),"Q1 2026",$I40&lt;DATE(2026,7,1),"Q2 2026",$I40&lt;DATE(2026,10,1),"Q3 2026",$I40&lt;DATE(2027,1,1),"Q4 2026",$I40&lt;DATE(2027,4,1),"Q1 2027",TRUE(),"Q2 2027+")</f>
        <v>Q4 2026</v>
      </c>
      <c r="E40" s="37" t="n">
        <f aca="false">IFERROR(AVERAGEIFS('Master Task List'!$J:$J,'Master Task List'!$B:$B,$B40),0)</f>
        <v>0</v>
      </c>
      <c r="F40" s="3" t="s">
        <v>341</v>
      </c>
      <c r="G40" s="0" t="s">
        <v>175</v>
      </c>
      <c r="I40" s="3" t="n">
        <f aca="false">_xlfn.MINIFS('Master Task List'!$K:$K,'Master Task List'!$B:$B,$B40)</f>
        <v>46377</v>
      </c>
    </row>
    <row r="41" customFormat="false" ht="15" hidden="false" customHeight="false" outlineLevel="0" collapsed="false">
      <c r="B41" s="2" t="s">
        <v>397</v>
      </c>
      <c r="C41" s="57" t="s">
        <v>605</v>
      </c>
      <c r="D41" s="0" t="str">
        <f aca="false">_xlfn.IFS($I41&lt;DATE(2026,4,1),"Q1 2026",$I41&lt;DATE(2026,7,1),"Q2 2026",$I41&lt;DATE(2026,10,1),"Q3 2026",$I41&lt;DATE(2027,1,1),"Q4 2026",$I41&lt;DATE(2027,4,1),"Q1 2027",TRUE(),"Q2 2027+")</f>
        <v>Q4 2026</v>
      </c>
      <c r="E41" s="37" t="n">
        <f aca="false">IFERROR(AVERAGEIFS('Master Task List'!$J:$J,'Master Task List'!$B:$B,$B41),0)</f>
        <v>0</v>
      </c>
      <c r="F41" s="3" t="s">
        <v>91</v>
      </c>
      <c r="G41" s="0" t="s">
        <v>90</v>
      </c>
      <c r="I41" s="3" t="n">
        <f aca="false">_xlfn.MINIFS('Master Task List'!$K:$K,'Master Task List'!$B:$B,$B41)</f>
        <v>46331</v>
      </c>
    </row>
    <row r="42" customFormat="false" ht="15" hidden="false" customHeight="false" outlineLevel="0" collapsed="false">
      <c r="B42" s="2" t="s">
        <v>408</v>
      </c>
      <c r="C42" s="57" t="s">
        <v>606</v>
      </c>
      <c r="D42" s="0" t="str">
        <f aca="false">_xlfn.IFS($I42&lt;DATE(2026,4,1),"Q1 2026",$I42&lt;DATE(2026,7,1),"Q2 2026",$I42&lt;DATE(2026,10,1),"Q3 2026",$I42&lt;DATE(2027,1,1),"Q4 2026",$I42&lt;DATE(2027,4,1),"Q1 2027",TRUE(),"Q2 2027+")</f>
        <v>Q4 2026</v>
      </c>
      <c r="E42" s="37" t="n">
        <f aca="false">IFERROR(AVERAGEIFS('Master Task List'!$J:$J,'Master Task List'!$B:$B,$B42),0)</f>
        <v>0</v>
      </c>
      <c r="F42" s="3" t="s">
        <v>412</v>
      </c>
      <c r="G42" s="0" t="s">
        <v>97</v>
      </c>
      <c r="I42" s="3" t="n">
        <f aca="false">_xlfn.MINIFS('Master Task List'!$K:$K,'Master Task List'!$B:$B,$B42)</f>
        <v>46301</v>
      </c>
    </row>
    <row r="44" customFormat="false" ht="21.75" hidden="false" customHeight="true" outlineLevel="0" collapsed="false">
      <c r="B44" s="61" t="s">
        <v>607</v>
      </c>
      <c r="C44" s="61"/>
      <c r="D44" s="61"/>
      <c r="E44" s="61"/>
      <c r="F44" s="61"/>
      <c r="G44" s="61"/>
    </row>
    <row r="45" customFormat="false" ht="18" hidden="false" customHeight="true" outlineLevel="0" collapsed="false">
      <c r="B45" s="36" t="s">
        <v>61</v>
      </c>
      <c r="C45" s="36" t="s">
        <v>573</v>
      </c>
      <c r="D45" s="36" t="s">
        <v>574</v>
      </c>
      <c r="E45" s="36" t="s">
        <v>495</v>
      </c>
      <c r="F45" s="36" t="s">
        <v>575</v>
      </c>
      <c r="G45" s="36" t="s">
        <v>65</v>
      </c>
    </row>
    <row r="46" customFormat="false" ht="15" hidden="false" customHeight="false" outlineLevel="0" collapsed="false">
      <c r="B46" s="2" t="s">
        <v>434</v>
      </c>
      <c r="C46" s="57" t="s">
        <v>608</v>
      </c>
      <c r="D46" s="0" t="str">
        <f aca="false">_xlfn.IFS($I46&lt;DATE(2026,4,1),"Q1 2026",$I46&lt;DATE(2026,7,1),"Q2 2026",$I46&lt;DATE(2026,10,1),"Q3 2026",$I46&lt;DATE(2027,1,1),"Q4 2026",$I46&lt;DATE(2027,4,1),"Q1 2027",TRUE(),"Q2 2027+")</f>
        <v>Q1 2027</v>
      </c>
      <c r="E46" s="37" t="n">
        <f aca="false">IFERROR(AVERAGEIFS('Master Task List'!$J:$J,'Master Task List'!$B:$B,$B46),0)</f>
        <v>0</v>
      </c>
      <c r="F46" s="3" t="s">
        <v>438</v>
      </c>
      <c r="G46" s="0" t="s">
        <v>175</v>
      </c>
      <c r="I46" s="3" t="n">
        <f aca="false">_xlfn.MINIFS('Master Task List'!$K:$K,'Master Task List'!$B:$B,$B46)</f>
        <v>46407</v>
      </c>
    </row>
    <row r="47" customFormat="false" ht="15" hidden="false" customHeight="false" outlineLevel="0" collapsed="false">
      <c r="B47" s="2" t="s">
        <v>447</v>
      </c>
      <c r="C47" s="57" t="s">
        <v>609</v>
      </c>
      <c r="D47" s="0" t="str">
        <f aca="false">_xlfn.IFS($I47&lt;DATE(2026,4,1),"Q1 2026",$I47&lt;DATE(2026,7,1),"Q2 2026",$I47&lt;DATE(2026,10,1),"Q3 2026",$I47&lt;DATE(2027,1,1),"Q4 2026",$I47&lt;DATE(2027,4,1),"Q1 2027",TRUE(),"Q2 2027+")</f>
        <v>Q1 2027</v>
      </c>
      <c r="E47" s="37" t="n">
        <f aca="false">IFERROR(AVERAGEIFS('Master Task List'!$J:$J,'Master Task List'!$B:$B,$B47),0)</f>
        <v>0</v>
      </c>
      <c r="F47" s="3" t="s">
        <v>438</v>
      </c>
      <c r="G47" s="0" t="s">
        <v>90</v>
      </c>
      <c r="I47" s="3" t="n">
        <f aca="false">_xlfn.MINIFS('Master Task List'!$K:$K,'Master Task List'!$B:$B,$B47)</f>
        <v>46453</v>
      </c>
    </row>
  </sheetData>
  <mergeCells count="6">
    <mergeCell ref="A1:G1"/>
    <mergeCell ref="B4:G4"/>
    <mergeCell ref="B13:G13"/>
    <mergeCell ref="B24:G24"/>
    <mergeCell ref="B34:G34"/>
    <mergeCell ref="B44:G44"/>
  </mergeCells>
  <conditionalFormatting sqref="E4:E49">
    <cfRule type="dataBar" priority="2">
      <dataBar showValue="1" minLength="10" maxLength="90">
        <cfvo type="num" val="0"/>
        <cfvo type="num" val="1"/>
        <color rgb="FF2CA58D"/>
      </dataBar>
      <extLst>
        <ext xmlns:x14="http://schemas.microsoft.com/office/spreadsheetml/2009/9/main" uri="{B025F937-C7B1-47D3-B67F-A62EFF666E3E}">
          <x14:id>{8F7FF17A-B0D3-4C57-92D9-1B70DB69CBA2}</x14:id>
        </ext>
      </extLst>
    </cfRule>
  </conditionalFormatting>
  <conditionalFormatting sqref="G4:G49">
    <cfRule type="cellIs" priority="3" operator="equal" aboveAverage="0" equalAverage="0" bottom="0" percent="0" rank="0" text="" dxfId="22">
      <formula>"Critical"</formula>
    </cfRule>
    <cfRule type="cellIs" priority="4" operator="equal" aboveAverage="0" equalAverage="0" bottom="0" percent="0" rank="0" text="" dxfId="18">
      <formula>"High"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7FF17A-B0D3-4C57-92D9-1B70DB69CBA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CA58D"/>
              <x14:axisColor rgb="FF000000"/>
            </x14:dataBar>
          </x14:cfRule>
          <xm:sqref>E4:E49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68</v>
      </c>
      <c r="B1" s="0" t="s">
        <v>610</v>
      </c>
      <c r="D1" s="0" t="s">
        <v>65</v>
      </c>
      <c r="F1" s="0" t="s">
        <v>611</v>
      </c>
      <c r="H1" s="0" t="s">
        <v>67</v>
      </c>
      <c r="J1" s="0" t="s">
        <v>66</v>
      </c>
      <c r="L1" s="0" t="s">
        <v>61</v>
      </c>
      <c r="N1" s="0" t="s">
        <v>612</v>
      </c>
      <c r="P1" s="0" t="s">
        <v>613</v>
      </c>
    </row>
    <row r="2" customFormat="false" ht="15" hidden="false" customHeight="false" outlineLevel="0" collapsed="false">
      <c r="A2" s="0" t="s">
        <v>233</v>
      </c>
      <c r="B2" s="0" t="n">
        <v>0</v>
      </c>
      <c r="D2" s="0" t="s">
        <v>201</v>
      </c>
      <c r="F2" s="0" t="s">
        <v>90</v>
      </c>
      <c r="H2" s="0" t="s">
        <v>103</v>
      </c>
      <c r="J2" s="0" t="s">
        <v>91</v>
      </c>
      <c r="L2" s="0" t="s">
        <v>86</v>
      </c>
      <c r="N2" s="0" t="s">
        <v>93</v>
      </c>
      <c r="P2" s="0" t="s">
        <v>529</v>
      </c>
    </row>
    <row r="3" customFormat="false" ht="15" hidden="false" customHeight="false" outlineLevel="0" collapsed="false">
      <c r="A3" s="0" t="s">
        <v>219</v>
      </c>
      <c r="B3" s="0" t="n">
        <v>0.15</v>
      </c>
      <c r="D3" s="0" t="s">
        <v>175</v>
      </c>
      <c r="F3" s="0" t="s">
        <v>97</v>
      </c>
      <c r="H3" s="0" t="s">
        <v>273</v>
      </c>
      <c r="J3" s="0" t="s">
        <v>107</v>
      </c>
      <c r="L3" s="0" t="s">
        <v>103</v>
      </c>
      <c r="N3" s="0" t="s">
        <v>614</v>
      </c>
      <c r="P3" s="0" t="s">
        <v>534</v>
      </c>
    </row>
    <row r="4" customFormat="false" ht="15" hidden="false" customHeight="false" outlineLevel="0" collapsed="false">
      <c r="A4" s="0" t="s">
        <v>121</v>
      </c>
      <c r="B4" s="0" t="n">
        <v>0.3</v>
      </c>
      <c r="D4" s="0" t="s">
        <v>97</v>
      </c>
      <c r="F4" s="0" t="s">
        <v>175</v>
      </c>
      <c r="H4" s="0" t="s">
        <v>121</v>
      </c>
      <c r="J4" s="0" t="s">
        <v>120</v>
      </c>
      <c r="L4" s="0" t="s">
        <v>116</v>
      </c>
      <c r="N4" s="0" t="s">
        <v>233</v>
      </c>
      <c r="P4" s="0" t="s">
        <v>615</v>
      </c>
    </row>
    <row r="5" customFormat="false" ht="15" hidden="false" customHeight="false" outlineLevel="0" collapsed="false">
      <c r="A5" s="0" t="s">
        <v>157</v>
      </c>
      <c r="B5" s="0" t="n">
        <v>0.55</v>
      </c>
      <c r="D5" s="0" t="s">
        <v>90</v>
      </c>
      <c r="F5" s="0" t="s">
        <v>201</v>
      </c>
      <c r="H5" s="0" t="s">
        <v>342</v>
      </c>
      <c r="J5" s="0" t="s">
        <v>135</v>
      </c>
      <c r="L5" s="0" t="s">
        <v>131</v>
      </c>
      <c r="N5" s="0" t="s">
        <v>616</v>
      </c>
    </row>
    <row r="6" customFormat="false" ht="15" hidden="false" customHeight="false" outlineLevel="0" collapsed="false">
      <c r="A6" s="0" t="s">
        <v>150</v>
      </c>
      <c r="B6" s="0" t="n">
        <v>0.75</v>
      </c>
      <c r="H6" s="0" t="s">
        <v>149</v>
      </c>
      <c r="J6" s="0" t="s">
        <v>148</v>
      </c>
      <c r="L6" s="0" t="s">
        <v>144</v>
      </c>
    </row>
    <row r="7" customFormat="false" ht="15" hidden="false" customHeight="false" outlineLevel="0" collapsed="false">
      <c r="A7" s="0" t="s">
        <v>192</v>
      </c>
      <c r="B7" s="0" t="n">
        <v>0.9</v>
      </c>
      <c r="H7" s="0" t="s">
        <v>413</v>
      </c>
      <c r="J7" s="0" t="s">
        <v>163</v>
      </c>
      <c r="L7" s="0" t="s">
        <v>159</v>
      </c>
    </row>
    <row r="8" customFormat="false" ht="15" hidden="false" customHeight="false" outlineLevel="0" collapsed="false">
      <c r="A8" s="0" t="s">
        <v>93</v>
      </c>
      <c r="B8" s="0" t="n">
        <v>1</v>
      </c>
      <c r="H8" s="0" t="s">
        <v>92</v>
      </c>
      <c r="J8" s="0" t="s">
        <v>176</v>
      </c>
      <c r="L8" s="0" t="s">
        <v>171</v>
      </c>
    </row>
    <row r="9" customFormat="false" ht="15" hidden="false" customHeight="false" outlineLevel="0" collapsed="false">
      <c r="A9" s="0" t="s">
        <v>228</v>
      </c>
      <c r="B9" s="0" t="n">
        <v>0.4</v>
      </c>
      <c r="H9" s="0" t="s">
        <v>439</v>
      </c>
      <c r="J9" s="0" t="s">
        <v>188</v>
      </c>
      <c r="L9" s="0" t="s">
        <v>184</v>
      </c>
    </row>
    <row r="10" customFormat="false" ht="15" hidden="false" customHeight="false" outlineLevel="0" collapsed="false">
      <c r="A10" s="0" t="s">
        <v>420</v>
      </c>
      <c r="B10" s="0" t="n">
        <v>0</v>
      </c>
      <c r="H10" s="0" t="s">
        <v>367</v>
      </c>
      <c r="J10" s="0" t="s">
        <v>341</v>
      </c>
      <c r="L10" s="0" t="s">
        <v>197</v>
      </c>
    </row>
    <row r="11" customFormat="false" ht="15" hidden="false" customHeight="false" outlineLevel="0" collapsed="false">
      <c r="H11" s="0" t="s">
        <v>351</v>
      </c>
      <c r="J11" s="0" t="s">
        <v>366</v>
      </c>
      <c r="L11" s="0" t="s">
        <v>209</v>
      </c>
    </row>
    <row r="12" customFormat="false" ht="15" hidden="false" customHeight="false" outlineLevel="0" collapsed="false">
      <c r="J12" s="0" t="s">
        <v>355</v>
      </c>
      <c r="L12" s="0" t="s">
        <v>221</v>
      </c>
    </row>
    <row r="13" customFormat="false" ht="15" hidden="false" customHeight="false" outlineLevel="0" collapsed="false">
      <c r="J13" s="0" t="s">
        <v>272</v>
      </c>
      <c r="L13" s="0" t="s">
        <v>235</v>
      </c>
    </row>
    <row r="14" customFormat="false" ht="15" hidden="false" customHeight="false" outlineLevel="0" collapsed="false">
      <c r="J14" s="0" t="s">
        <v>412</v>
      </c>
      <c r="L14" s="0" t="s">
        <v>246</v>
      </c>
    </row>
    <row r="15" customFormat="false" ht="15" hidden="false" customHeight="false" outlineLevel="0" collapsed="false">
      <c r="J15" s="0" t="s">
        <v>438</v>
      </c>
      <c r="L15" s="0" t="s">
        <v>257</v>
      </c>
    </row>
    <row r="16" customFormat="false" ht="15" hidden="false" customHeight="false" outlineLevel="0" collapsed="false">
      <c r="L16" s="0" t="s">
        <v>268</v>
      </c>
    </row>
    <row r="17" customFormat="false" ht="15" hidden="false" customHeight="false" outlineLevel="0" collapsed="false">
      <c r="L17" s="0" t="s">
        <v>281</v>
      </c>
    </row>
    <row r="18" customFormat="false" ht="15" hidden="false" customHeight="false" outlineLevel="0" collapsed="false">
      <c r="L18" s="0" t="s">
        <v>292</v>
      </c>
    </row>
    <row r="19" customFormat="false" ht="15" hidden="false" customHeight="false" outlineLevel="0" collapsed="false">
      <c r="L19" s="0" t="s">
        <v>304</v>
      </c>
    </row>
    <row r="20" customFormat="false" ht="15" hidden="false" customHeight="false" outlineLevel="0" collapsed="false">
      <c r="L20" s="0" t="s">
        <v>315</v>
      </c>
    </row>
    <row r="21" customFormat="false" ht="15" hidden="false" customHeight="false" outlineLevel="0" collapsed="false">
      <c r="L21" s="0" t="s">
        <v>326</v>
      </c>
    </row>
    <row r="22" customFormat="false" ht="15" hidden="false" customHeight="false" outlineLevel="0" collapsed="false">
      <c r="L22" s="0" t="s">
        <v>337</v>
      </c>
    </row>
    <row r="23" customFormat="false" ht="15" hidden="false" customHeight="false" outlineLevel="0" collapsed="false">
      <c r="L23" s="0" t="s">
        <v>351</v>
      </c>
    </row>
    <row r="24" customFormat="false" ht="15" hidden="false" customHeight="false" outlineLevel="0" collapsed="false">
      <c r="L24" s="0" t="s">
        <v>150</v>
      </c>
    </row>
    <row r="25" customFormat="false" ht="15" hidden="false" customHeight="false" outlineLevel="0" collapsed="false">
      <c r="L25" s="0" t="s">
        <v>375</v>
      </c>
    </row>
    <row r="26" customFormat="false" ht="15" hidden="false" customHeight="false" outlineLevel="0" collapsed="false">
      <c r="L26" s="0" t="s">
        <v>386</v>
      </c>
    </row>
    <row r="27" customFormat="false" ht="15" hidden="false" customHeight="false" outlineLevel="0" collapsed="false">
      <c r="L27" s="0" t="s">
        <v>397</v>
      </c>
    </row>
    <row r="28" customFormat="false" ht="15" hidden="false" customHeight="false" outlineLevel="0" collapsed="false">
      <c r="L28" s="0" t="s">
        <v>408</v>
      </c>
    </row>
    <row r="29" customFormat="false" ht="15" hidden="false" customHeight="false" outlineLevel="0" collapsed="false">
      <c r="L29" s="0" t="s">
        <v>423</v>
      </c>
    </row>
    <row r="30" customFormat="false" ht="15" hidden="false" customHeight="false" outlineLevel="0" collapsed="false">
      <c r="L30" s="0" t="s">
        <v>434</v>
      </c>
    </row>
    <row r="31" customFormat="false" ht="15" hidden="false" customHeight="false" outlineLevel="0" collapsed="false">
      <c r="L31" s="0" t="s">
        <v>447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68</v>
      </c>
      <c r="B1" s="0" t="s">
        <v>617</v>
      </c>
      <c r="D1" s="0" t="s">
        <v>618</v>
      </c>
      <c r="E1" s="0" t="s">
        <v>495</v>
      </c>
      <c r="G1" s="0" t="s">
        <v>619</v>
      </c>
      <c r="H1" s="0" t="s">
        <v>620</v>
      </c>
      <c r="J1" s="0" t="s">
        <v>65</v>
      </c>
      <c r="K1" s="0" t="s">
        <v>617</v>
      </c>
      <c r="M1" s="0" t="s">
        <v>484</v>
      </c>
      <c r="N1" s="0" t="s">
        <v>621</v>
      </c>
    </row>
    <row r="2" customFormat="false" ht="15" hidden="false" customHeight="false" outlineLevel="0" collapsed="false">
      <c r="A2" s="0" t="s">
        <v>233</v>
      </c>
      <c r="B2" s="0" t="n">
        <f aca="false">COUNTIF('Master Task List'!$I:$I,$A2)</f>
        <v>45</v>
      </c>
      <c r="D2" s="0" t="s">
        <v>93</v>
      </c>
      <c r="E2" s="62" t="n">
        <f aca="false">IFERROR(AVERAGE('Master Task List'!$J$2:$J$600),0)</f>
        <v>0.342777777777778</v>
      </c>
      <c r="G2" s="63" t="n">
        <v>46174</v>
      </c>
      <c r="H2" s="3" t="n">
        <f aca="false">COUNTIFS('Master Task List'!$M:$M,"&lt;="&amp;$G2)</f>
        <v>15</v>
      </c>
      <c r="J2" s="3" t="s">
        <v>201</v>
      </c>
      <c r="K2" s="3" t="n">
        <f aca="false">COUNTIFS('Master Task List'!$F:$F,$J2,'Master Task List'!$I:$I,"&lt;&gt;Cancelled")</f>
        <v>4</v>
      </c>
      <c r="M2" s="0" t="str">
        <f aca="false">LEFT(Milestones!A2,18)</f>
        <v>انطلاقة المشروع رس</v>
      </c>
      <c r="N2" s="3" t="n">
        <f aca="false">Milestones!C2-DATE(2026,1,5)</f>
        <v>15</v>
      </c>
    </row>
    <row r="3" customFormat="false" ht="15" hidden="false" customHeight="false" outlineLevel="0" collapsed="false">
      <c r="A3" s="0" t="s">
        <v>219</v>
      </c>
      <c r="B3" s="0" t="n">
        <f aca="false">COUNTIF('Master Task List'!$I:$I,$A3)</f>
        <v>3</v>
      </c>
      <c r="D3" s="0" t="s">
        <v>551</v>
      </c>
      <c r="E3" s="62" t="n">
        <f aca="false">1-$E$2</f>
        <v>0.657222222222222</v>
      </c>
      <c r="G3" s="63" t="n">
        <v>46181</v>
      </c>
      <c r="H3" s="3" t="n">
        <f aca="false">COUNTIFS('Master Task List'!$M:$M,"&lt;="&amp;$G3)</f>
        <v>16</v>
      </c>
      <c r="J3" s="3" t="s">
        <v>175</v>
      </c>
      <c r="K3" s="3" t="n">
        <f aca="false">COUNTIFS('Master Task List'!$F:$F,$J3,'Master Task List'!$I:$I,"&lt;&gt;Cancelled")</f>
        <v>35</v>
      </c>
      <c r="M3" s="0" t="str">
        <f aca="false">LEFT(Milestones!A3,18)</f>
        <v>اعتماد التصميم الن</v>
      </c>
      <c r="N3" s="3" t="n">
        <f aca="false">Milestones!C3-DATE(2026,1,5)</f>
        <v>79</v>
      </c>
    </row>
    <row r="4" customFormat="false" ht="15" hidden="false" customHeight="false" outlineLevel="0" collapsed="false">
      <c r="A4" s="0" t="s">
        <v>121</v>
      </c>
      <c r="B4" s="0" t="n">
        <f aca="false">COUNTIF('Master Task List'!$I:$I,$A4)</f>
        <v>4</v>
      </c>
      <c r="G4" s="63" t="n">
        <v>46188</v>
      </c>
      <c r="H4" s="3" t="n">
        <f aca="false">COUNTIFS('Master Task List'!$M:$M,"&lt;="&amp;$G4)</f>
        <v>16</v>
      </c>
      <c r="J4" s="3" t="s">
        <v>97</v>
      </c>
      <c r="K4" s="3" t="n">
        <f aca="false">COUNTIFS('Master Task List'!$F:$F,$J4,'Master Task List'!$I:$I,"&lt;&gt;Cancelled")</f>
        <v>44</v>
      </c>
      <c r="M4" s="0" t="str">
        <f aca="false">LEFT(Milestones!A4,18)</f>
        <v>إصدار النسخة التجر</v>
      </c>
      <c r="N4" s="3" t="n">
        <f aca="false">Milestones!C4-DATE(2026,1,5)</f>
        <v>222</v>
      </c>
    </row>
    <row r="5" customFormat="false" ht="15" hidden="false" customHeight="false" outlineLevel="0" collapsed="false">
      <c r="A5" s="0" t="s">
        <v>157</v>
      </c>
      <c r="B5" s="0" t="n">
        <f aca="false">COUNTIF('Master Task List'!$I:$I,$A5)</f>
        <v>10</v>
      </c>
      <c r="G5" s="63" t="n">
        <v>46195</v>
      </c>
      <c r="H5" s="3" t="n">
        <f aca="false">COUNTIFS('Master Task List'!$M:$M,"&lt;="&amp;$G5)</f>
        <v>16</v>
      </c>
      <c r="J5" s="3" t="s">
        <v>90</v>
      </c>
      <c r="K5" s="3" t="n">
        <f aca="false">COUNTIFS('Master Task List'!$F:$F,$J5,'Master Task List'!$I:$I,"&lt;&gt;Cancelled")</f>
        <v>6</v>
      </c>
      <c r="M5" s="0" t="str">
        <f aca="false">LEFT(Milestones!A5,18)</f>
        <v>اكتمال وحدة إدارة </v>
      </c>
      <c r="N5" s="3" t="n">
        <f aca="false">Milestones!C5-DATE(2026,1,5)</f>
        <v>268</v>
      </c>
    </row>
    <row r="6" customFormat="false" ht="15" hidden="false" customHeight="false" outlineLevel="0" collapsed="false">
      <c r="A6" s="0" t="s">
        <v>150</v>
      </c>
      <c r="B6" s="0" t="n">
        <f aca="false">COUNTIF('Master Task List'!$I:$I,$A6)</f>
        <v>8</v>
      </c>
      <c r="G6" s="63" t="n">
        <v>46202</v>
      </c>
      <c r="H6" s="3" t="n">
        <f aca="false">COUNTIFS('Master Task List'!$M:$M,"&lt;="&amp;$G6)</f>
        <v>16</v>
      </c>
      <c r="M6" s="0" t="str">
        <f aca="false">LEFT(Milestones!A6,18)</f>
        <v>إصدار النسخة التجر</v>
      </c>
      <c r="N6" s="3" t="n">
        <f aca="false">Milestones!C6-DATE(2026,1,5)</f>
        <v>314</v>
      </c>
    </row>
    <row r="7" customFormat="false" ht="15" hidden="false" customHeight="false" outlineLevel="0" collapsed="false">
      <c r="A7" s="0" t="s">
        <v>192</v>
      </c>
      <c r="B7" s="0" t="n">
        <f aca="false">COUNTIF('Master Task List'!$I:$I,$A7)</f>
        <v>1</v>
      </c>
      <c r="G7" s="63" t="n">
        <v>46209</v>
      </c>
      <c r="H7" s="3" t="n">
        <f aca="false">COUNTIFS('Master Task List'!$M:$M,"&lt;="&amp;$G7)</f>
        <v>16</v>
      </c>
      <c r="M7" s="0" t="str">
        <f aca="false">LEFT(Milestones!A7,18)</f>
        <v>اكتمال الاختبارات </v>
      </c>
      <c r="N7" s="3" t="n">
        <f aca="false">Milestones!C7-DATE(2026,1,5)</f>
        <v>370</v>
      </c>
    </row>
    <row r="8" customFormat="false" ht="15" hidden="false" customHeight="false" outlineLevel="0" collapsed="false">
      <c r="A8" s="0" t="s">
        <v>93</v>
      </c>
      <c r="B8" s="0" t="n">
        <f aca="false">COUNTIF('Master Task List'!$I:$I,$A8)</f>
        <v>16</v>
      </c>
      <c r="G8" s="63" t="n">
        <v>46216</v>
      </c>
      <c r="H8" s="3" t="n">
        <f aca="false">COUNTIFS('Master Task List'!$M:$M,"&lt;="&amp;$G8)</f>
        <v>16</v>
      </c>
      <c r="M8" s="0" t="str">
        <f aca="false">LEFT(Milestones!A8,18)</f>
        <v>الجاهزية للإطلاق (</v>
      </c>
      <c r="N8" s="3" t="n">
        <f aca="false">Milestones!C8-DATE(2026,1,5)</f>
        <v>411</v>
      </c>
    </row>
    <row r="9" customFormat="false" ht="15" hidden="false" customHeight="false" outlineLevel="0" collapsed="false">
      <c r="A9" s="0" t="s">
        <v>228</v>
      </c>
      <c r="B9" s="0" t="n">
        <f aca="false">COUNTIF('Master Task List'!$I:$I,$A9)</f>
        <v>2</v>
      </c>
      <c r="G9" s="63" t="n">
        <v>46223</v>
      </c>
      <c r="H9" s="3" t="n">
        <f aca="false">COUNTIFS('Master Task List'!$M:$M,"&lt;="&amp;$G9)</f>
        <v>16</v>
      </c>
      <c r="M9" s="0" t="str">
        <f aca="false">LEFT(Milestones!A9,18)</f>
        <v>الإطلاق الرسمي للت</v>
      </c>
      <c r="N9" s="3" t="n">
        <f aca="false">Milestones!C9-DATE(2026,1,5)</f>
        <v>424</v>
      </c>
    </row>
    <row r="10" customFormat="false" ht="15" hidden="false" customHeight="false" outlineLevel="0" collapsed="false">
      <c r="A10" s="0" t="s">
        <v>420</v>
      </c>
      <c r="B10" s="0" t="n">
        <f aca="false">COUNTIF('Master Task List'!$I:$I,$A10)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2026-07-26T08:49:13Z</dcterms:created>
  <dc:creator>PMO Template</dc:creator>
  <dc:description/>
  <dc:language>en-US</dc:language>
  <cp:lastModifiedBy/>
  <dcterms:modified xsi:type="dcterms:W3CDTF">2026-07-26T08:49:16Z</dcterms:modified>
  <cp:revision>1</cp:revision>
  <dc:subject>Project Management Workbook</dc:subject>
  <dc:title>Damanaty (ضماناتي) — PMO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